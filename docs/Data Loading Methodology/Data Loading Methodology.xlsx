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kenanga.sharepoint.com/sites/DatalakeRefreshTech-HPEEzmeral/Shared Documents/[External] Sharing/Technical Documentation/"/>
    </mc:Choice>
  </mc:AlternateContent>
  <xr:revisionPtr revIDLastSave="11" documentId="121_{677DAC9C-D628-4597-8333-B9B32C427102}" xr6:coauthVersionLast="47" xr6:coauthVersionMax="47" xr10:uidLastSave="{2D6E0F88-6CC2-4FB7-992B-1E1E3EEDB31B}"/>
  <bookViews>
    <workbookView xWindow="7704" yWindow="17172" windowWidth="23256" windowHeight="13896" firstSheet="1" activeTab="8" xr2:uid="{00000000-000D-0000-FFFF-FFFF00000000}"/>
  </bookViews>
  <sheets>
    <sheet name="Development Checklist" sheetId="12" r:id="rId1"/>
    <sheet name="Retention &amp; Partitioning" sheetId="11" r:id="rId2"/>
    <sheet name="Summary" sheetId="5" r:id="rId3"/>
    <sheet name="Model 1A" sheetId="10" state="hidden" r:id="rId4"/>
    <sheet name="Model 1" sheetId="1" r:id="rId5"/>
    <sheet name="Model 2" sheetId="2" r:id="rId6"/>
    <sheet name="Model 3" sheetId="3" r:id="rId7"/>
    <sheet name="Model 4" sheetId="4" r:id="rId8"/>
    <sheet name="Model 5" sheetId="6" r:id="rId9"/>
    <sheet name="Model 6" sheetId="7" r:id="rId10"/>
    <sheet name="Model 7" sheetId="9" state="hidden" r:id="rId11"/>
  </sheets>
  <definedNames>
    <definedName name="_xlnm._FilterDatabase" localSheetId="2" hidden="1">Summary!$A$1:$P$11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26" i="10" l="1"/>
  <c r="AK26" i="10"/>
  <c r="Y26" i="10"/>
  <c r="Z26" i="10" s="1"/>
  <c r="N26" i="10"/>
  <c r="AV25" i="10"/>
  <c r="AK25" i="10"/>
  <c r="Y25" i="10"/>
  <c r="Z25" i="10" s="1"/>
  <c r="N25" i="10"/>
  <c r="F25" i="10"/>
  <c r="AV24" i="10"/>
  <c r="AK24" i="10"/>
  <c r="Y24" i="10"/>
  <c r="Z24" i="10" s="1"/>
  <c r="N24" i="10"/>
  <c r="F24" i="10"/>
  <c r="AV23" i="10"/>
  <c r="AK23" i="10"/>
  <c r="Y23" i="10"/>
  <c r="Z23" i="10" s="1"/>
  <c r="N23" i="10"/>
  <c r="F23" i="10"/>
  <c r="AV22" i="10"/>
  <c r="AK22" i="10"/>
  <c r="Y22" i="10"/>
  <c r="Z22" i="10" s="1"/>
  <c r="N22" i="10"/>
  <c r="F22" i="10"/>
  <c r="AV21" i="10"/>
  <c r="AK21" i="10"/>
  <c r="Y21" i="10"/>
  <c r="Z21" i="10" s="1"/>
  <c r="N21" i="10"/>
  <c r="F21" i="10"/>
  <c r="AV20" i="10"/>
  <c r="AK20" i="10"/>
  <c r="Y20" i="10"/>
  <c r="Z20" i="10" s="1"/>
  <c r="N20" i="10"/>
  <c r="F20" i="10"/>
  <c r="AV19" i="10"/>
  <c r="AK19" i="10"/>
  <c r="Y19" i="10"/>
  <c r="Z19" i="10" s="1"/>
  <c r="N19" i="10"/>
  <c r="F19" i="10"/>
  <c r="AV18" i="10"/>
  <c r="AK18" i="10"/>
  <c r="Y18" i="10"/>
  <c r="Z18" i="10" s="1"/>
  <c r="N18" i="10"/>
  <c r="F18" i="10"/>
  <c r="AV17" i="10"/>
  <c r="AK17" i="10"/>
  <c r="Y17" i="10"/>
  <c r="Z17" i="10" s="1"/>
  <c r="N17" i="10"/>
  <c r="F17" i="10"/>
  <c r="AV15" i="10"/>
  <c r="AK15" i="10"/>
  <c r="Y15" i="10"/>
  <c r="Z15" i="10" s="1"/>
  <c r="N15" i="10"/>
  <c r="F15" i="10"/>
  <c r="AV14" i="10"/>
  <c r="AK14" i="10"/>
  <c r="Y14" i="10"/>
  <c r="Z14" i="10" s="1"/>
  <c r="N14" i="10"/>
  <c r="F14" i="10"/>
  <c r="AV13" i="10"/>
  <c r="AK13" i="10"/>
  <c r="Y13" i="10"/>
  <c r="Z13" i="10" s="1"/>
  <c r="N13" i="10"/>
  <c r="F13" i="10"/>
  <c r="AV12" i="10"/>
  <c r="AK12" i="10"/>
  <c r="Y12" i="10"/>
  <c r="Z12" i="10" s="1"/>
  <c r="N12" i="10"/>
  <c r="F12" i="10"/>
  <c r="AV11" i="10"/>
  <c r="AK11" i="10"/>
  <c r="Y11" i="10"/>
  <c r="Z11" i="10" s="1"/>
  <c r="N11" i="10"/>
  <c r="F11" i="10"/>
  <c r="AV10" i="10"/>
  <c r="AK10" i="10"/>
  <c r="Y10" i="10"/>
  <c r="Z10" i="10" s="1"/>
  <c r="N10" i="10"/>
  <c r="F10" i="10"/>
  <c r="AV9" i="10"/>
  <c r="AK9" i="10"/>
  <c r="Y9" i="10"/>
  <c r="Z9" i="10" s="1"/>
  <c r="N9" i="10"/>
  <c r="F9" i="10"/>
  <c r="AV8" i="10"/>
  <c r="AK8" i="10"/>
  <c r="Y8" i="10"/>
  <c r="Z8" i="10" s="1"/>
  <c r="N8" i="10"/>
  <c r="F8" i="10"/>
  <c r="AV7" i="10"/>
  <c r="AK7" i="10"/>
  <c r="Y7" i="10"/>
  <c r="Z7" i="10" s="1"/>
  <c r="N7" i="10"/>
  <c r="F7" i="10"/>
  <c r="AV6" i="10"/>
  <c r="AK6" i="10"/>
  <c r="Y6" i="10"/>
  <c r="Z6" i="10" s="1"/>
  <c r="N6" i="10"/>
  <c r="F6" i="10"/>
  <c r="AP70" i="7"/>
  <c r="AP69" i="7"/>
  <c r="AP68" i="7"/>
  <c r="AP67" i="7"/>
  <c r="AP66" i="7"/>
  <c r="AP65" i="7"/>
  <c r="AP64" i="7"/>
  <c r="AP63" i="7"/>
  <c r="AP62" i="7"/>
  <c r="AP39" i="7"/>
  <c r="AP38" i="7"/>
  <c r="AP37" i="7"/>
  <c r="AP36" i="7"/>
  <c r="AP35" i="7"/>
  <c r="AP34" i="7"/>
  <c r="AP33" i="7"/>
  <c r="AP32" i="7"/>
  <c r="AP31" i="7"/>
  <c r="AP30" i="7"/>
  <c r="AP29" i="7"/>
  <c r="AP28" i="7"/>
  <c r="AP27" i="7"/>
  <c r="AP26" i="7"/>
  <c r="AP25" i="7"/>
  <c r="AP24" i="7"/>
  <c r="AP23" i="7"/>
  <c r="AP22" i="7"/>
  <c r="AP21" i="7"/>
  <c r="AP20" i="7"/>
  <c r="AP19" i="7"/>
  <c r="AP18" i="7"/>
  <c r="AP17" i="7"/>
  <c r="AP15" i="7"/>
  <c r="AP14" i="7"/>
  <c r="AP13" i="7"/>
  <c r="AP12" i="7"/>
  <c r="AP11" i="7"/>
  <c r="AP10" i="7"/>
  <c r="AP9" i="7"/>
  <c r="AP8" i="7"/>
  <c r="AP7" i="7"/>
  <c r="AP6" i="7"/>
  <c r="AJ39" i="7"/>
  <c r="AJ38" i="7"/>
  <c r="AJ37" i="7"/>
  <c r="AJ36" i="7"/>
  <c r="AJ35" i="7"/>
  <c r="AJ34" i="7"/>
  <c r="AJ33" i="7"/>
  <c r="AJ32" i="7"/>
  <c r="AJ31" i="7"/>
  <c r="AJ30" i="7"/>
  <c r="AJ29" i="7"/>
  <c r="AJ28" i="7"/>
  <c r="AJ27" i="7"/>
  <c r="AJ26" i="7"/>
  <c r="AJ25" i="7"/>
  <c r="AJ24" i="7"/>
  <c r="AJ23" i="7"/>
  <c r="AJ22" i="7"/>
  <c r="AJ21" i="7"/>
  <c r="AJ20" i="7"/>
  <c r="AJ19" i="7"/>
  <c r="AJ18" i="7"/>
  <c r="AJ17" i="7"/>
  <c r="AR84" i="6"/>
  <c r="AR83" i="6"/>
  <c r="AR82" i="6"/>
  <c r="AR81" i="6"/>
  <c r="AR80" i="6"/>
  <c r="AR79" i="6"/>
  <c r="AR78" i="6"/>
  <c r="AR77" i="6"/>
  <c r="AR76" i="6"/>
  <c r="AR75" i="6"/>
  <c r="AR74" i="6"/>
  <c r="AR73" i="6"/>
  <c r="AR72" i="6"/>
  <c r="AR71" i="6"/>
  <c r="AR70" i="6"/>
  <c r="AR69" i="6"/>
  <c r="AR68" i="6"/>
  <c r="AR67" i="6"/>
  <c r="AR66" i="6"/>
  <c r="AR65" i="6"/>
  <c r="AR85" i="6"/>
  <c r="AR86" i="6"/>
  <c r="AR87" i="6"/>
  <c r="AR88" i="6"/>
  <c r="AR89" i="6"/>
  <c r="AR90" i="6"/>
  <c r="AR91" i="6"/>
  <c r="AR92" i="6"/>
  <c r="AR93" i="6"/>
  <c r="AR94" i="6"/>
  <c r="AR95" i="6"/>
  <c r="AR96" i="6"/>
  <c r="AR97" i="6"/>
  <c r="AR98" i="6"/>
  <c r="AR99" i="6"/>
  <c r="AR100" i="6"/>
  <c r="AR101" i="6"/>
  <c r="AR102" i="6"/>
  <c r="AR103" i="6"/>
  <c r="AR104" i="6"/>
  <c r="AR105" i="6"/>
  <c r="AR106" i="6"/>
  <c r="AR107" i="6"/>
  <c r="AR108" i="6"/>
  <c r="AR109" i="6"/>
  <c r="AR110" i="6"/>
  <c r="AR111" i="6"/>
  <c r="AG84" i="6"/>
  <c r="AG83" i="6"/>
  <c r="AG82" i="6"/>
  <c r="AG81" i="6"/>
  <c r="AG80" i="6"/>
  <c r="AG79" i="6"/>
  <c r="AG78" i="6"/>
  <c r="AG77" i="6"/>
  <c r="AG76" i="6"/>
  <c r="AG75" i="6"/>
  <c r="AG74" i="6"/>
  <c r="AG73" i="6"/>
  <c r="AG72" i="6"/>
  <c r="AG71" i="6"/>
  <c r="AG70" i="6"/>
  <c r="AG69" i="6"/>
  <c r="AG68" i="6"/>
  <c r="AG67" i="6"/>
  <c r="AG66" i="6"/>
  <c r="AG65" i="6"/>
  <c r="AJ15" i="7"/>
  <c r="AJ14" i="7"/>
  <c r="AJ13" i="7"/>
  <c r="AJ12" i="7"/>
  <c r="AJ11" i="7"/>
  <c r="AJ10" i="7"/>
  <c r="AJ9" i="7"/>
  <c r="AJ8" i="7"/>
  <c r="AJ7" i="7"/>
  <c r="AJ6" i="7"/>
  <c r="T27" i="7"/>
  <c r="T28" i="7"/>
  <c r="T29" i="7"/>
  <c r="T30" i="7"/>
  <c r="T31" i="7"/>
  <c r="T32" i="7"/>
  <c r="T33" i="7"/>
  <c r="T34" i="7"/>
  <c r="T35" i="7"/>
  <c r="T36" i="7"/>
  <c r="T37" i="7"/>
  <c r="T38" i="7"/>
  <c r="T39" i="7"/>
  <c r="T26" i="7"/>
  <c r="T25" i="7"/>
  <c r="T24" i="7"/>
  <c r="T23" i="7"/>
  <c r="T22" i="7"/>
  <c r="T21" i="7"/>
  <c r="T20" i="7"/>
  <c r="T19" i="7"/>
  <c r="T18" i="7"/>
  <c r="T17" i="7"/>
  <c r="T15" i="7"/>
  <c r="T14" i="7"/>
  <c r="T13" i="7"/>
  <c r="T12" i="7"/>
  <c r="T11" i="7"/>
  <c r="T10" i="7"/>
  <c r="T9" i="7"/>
  <c r="T8" i="7"/>
  <c r="T7" i="7"/>
  <c r="T6" i="7"/>
  <c r="AR141" i="6"/>
  <c r="AR142" i="6"/>
  <c r="AR143" i="6"/>
  <c r="AR144" i="6"/>
  <c r="AR145" i="6"/>
  <c r="AR146" i="6"/>
  <c r="AR140" i="6"/>
  <c r="AR139" i="6"/>
  <c r="AR138" i="6"/>
  <c r="AR137" i="6"/>
  <c r="AR136" i="6"/>
  <c r="AR135" i="6"/>
  <c r="AR134" i="6"/>
  <c r="AR133" i="6"/>
  <c r="AR132" i="6"/>
  <c r="AR131" i="6"/>
  <c r="AR130" i="6"/>
  <c r="AR129" i="6"/>
  <c r="AR128" i="6"/>
  <c r="AR127" i="6"/>
  <c r="AR126" i="6"/>
  <c r="AR125" i="6"/>
  <c r="AR124" i="6"/>
  <c r="AR123" i="6"/>
  <c r="AR122" i="6"/>
  <c r="AR121" i="6"/>
  <c r="AR120" i="6"/>
  <c r="AR119" i="6"/>
  <c r="AR118" i="6"/>
  <c r="AR117" i="6"/>
  <c r="AR116" i="6"/>
  <c r="AR115" i="6"/>
  <c r="AR114" i="6"/>
  <c r="AR113" i="6"/>
  <c r="AG146" i="6"/>
  <c r="AG145" i="6"/>
  <c r="AG144" i="6"/>
  <c r="AG143" i="6"/>
  <c r="AG142" i="6"/>
  <c r="AG141" i="6"/>
  <c r="AG140" i="6"/>
  <c r="AG139" i="6"/>
  <c r="AG138" i="6"/>
  <c r="AG137" i="6"/>
  <c r="AG136" i="6"/>
  <c r="AG135" i="6"/>
  <c r="AG134" i="6"/>
  <c r="AG133" i="6"/>
  <c r="AG132" i="6"/>
  <c r="AG131" i="6"/>
  <c r="AG130" i="6"/>
  <c r="AG129" i="6"/>
  <c r="AG128" i="6"/>
  <c r="AG127" i="6"/>
  <c r="AG126" i="6"/>
  <c r="AG125" i="6"/>
  <c r="AG124" i="6"/>
  <c r="AG123" i="6"/>
  <c r="AG122" i="6"/>
  <c r="AG121" i="6"/>
  <c r="AG111" i="6"/>
  <c r="AG110" i="6"/>
  <c r="AG109" i="6"/>
  <c r="AG108" i="6"/>
  <c r="AG107" i="6"/>
  <c r="AG106" i="6"/>
  <c r="AG105" i="6"/>
  <c r="AG104" i="6"/>
  <c r="AG103" i="6"/>
  <c r="AG102" i="6"/>
  <c r="AG101" i="6"/>
  <c r="AG100" i="6"/>
  <c r="AG99" i="6"/>
  <c r="AG98" i="6"/>
  <c r="AG97" i="6"/>
  <c r="AG96" i="6"/>
  <c r="AG95" i="6"/>
  <c r="AG94" i="6"/>
  <c r="AG93" i="6"/>
  <c r="AT18" i="1"/>
  <c r="AT17" i="1"/>
  <c r="AV27" i="3"/>
  <c r="S111" i="6"/>
  <c r="S110" i="6"/>
  <c r="S109" i="6"/>
  <c r="S108" i="6"/>
  <c r="S107" i="6"/>
  <c r="S106" i="6"/>
  <c r="S105" i="6"/>
  <c r="S104" i="6"/>
  <c r="S103" i="6"/>
  <c r="S102" i="6"/>
  <c r="S101" i="6"/>
  <c r="S100" i="6"/>
  <c r="S99" i="6"/>
  <c r="S98" i="6"/>
  <c r="S97" i="6"/>
  <c r="S96" i="6"/>
  <c r="S95" i="6"/>
  <c r="S94" i="6"/>
  <c r="S93" i="6"/>
  <c r="AV26" i="3" l="1"/>
  <c r="AV25" i="3"/>
  <c r="AV24" i="3"/>
  <c r="AV23" i="3"/>
  <c r="AV22" i="3"/>
  <c r="AV21" i="3"/>
  <c r="AV20" i="3"/>
  <c r="AV19" i="3"/>
  <c r="AV18" i="3"/>
  <c r="AV17" i="3"/>
  <c r="AJ27" i="3"/>
  <c r="AJ26" i="3"/>
  <c r="AJ25" i="3"/>
  <c r="AJ24" i="3"/>
  <c r="AJ23" i="3"/>
  <c r="AJ22" i="3"/>
  <c r="AJ21" i="3"/>
  <c r="AJ20" i="3"/>
  <c r="AJ19" i="3"/>
  <c r="AJ18" i="3"/>
  <c r="AJ17" i="3"/>
  <c r="AV15" i="3"/>
  <c r="AV14" i="3"/>
  <c r="AV13" i="3"/>
  <c r="AV12" i="3"/>
  <c r="AV11" i="3"/>
  <c r="AV10" i="3"/>
  <c r="AV9" i="3"/>
  <c r="AV8" i="3"/>
  <c r="AV7" i="3"/>
  <c r="AV6" i="3"/>
  <c r="AJ15" i="3"/>
  <c r="AJ14" i="3"/>
  <c r="AJ13" i="3"/>
  <c r="AJ12" i="3"/>
  <c r="AJ11" i="3"/>
  <c r="AJ10" i="3"/>
  <c r="AJ9" i="3"/>
  <c r="AJ8" i="3"/>
  <c r="AJ7" i="3"/>
  <c r="AJ6" i="3"/>
  <c r="W26" i="1"/>
  <c r="X26" i="1" s="1"/>
  <c r="W25" i="1"/>
  <c r="X25" i="1" s="1"/>
  <c r="W24" i="1"/>
  <c r="X24" i="1" s="1"/>
  <c r="W23" i="1"/>
  <c r="X23" i="1" s="1"/>
  <c r="W22" i="1"/>
  <c r="X22" i="1" s="1"/>
  <c r="W21" i="1"/>
  <c r="X21" i="1" s="1"/>
  <c r="W20" i="1"/>
  <c r="X20" i="1" s="1"/>
  <c r="W19" i="1"/>
  <c r="X19" i="1" s="1"/>
  <c r="W18" i="1"/>
  <c r="X18" i="1" s="1"/>
  <c r="W17" i="1"/>
  <c r="X17" i="1" s="1"/>
  <c r="W15" i="1"/>
  <c r="X15" i="1" s="1"/>
  <c r="W14" i="1"/>
  <c r="X14" i="1" s="1"/>
  <c r="W13" i="1"/>
  <c r="X13" i="1" s="1"/>
  <c r="W12" i="1"/>
  <c r="X12" i="1" s="1"/>
  <c r="W11" i="1"/>
  <c r="X11" i="1" s="1"/>
  <c r="W10" i="1"/>
  <c r="X10" i="1" s="1"/>
  <c r="W9" i="1"/>
  <c r="X9" i="1" s="1"/>
  <c r="W8" i="1"/>
  <c r="X8" i="1" s="1"/>
  <c r="W7" i="1"/>
  <c r="X7" i="1" s="1"/>
  <c r="W6" i="1"/>
  <c r="X6" i="1" s="1"/>
  <c r="AR63" i="6"/>
  <c r="AR62" i="6"/>
  <c r="AR61" i="6"/>
  <c r="AR60" i="6"/>
  <c r="AR59" i="6"/>
  <c r="AR58" i="6"/>
  <c r="AR57" i="6"/>
  <c r="AR56" i="6"/>
  <c r="AR55" i="6"/>
  <c r="AR54" i="6"/>
  <c r="AR53" i="6"/>
  <c r="AR52" i="6"/>
  <c r="AR51" i="6"/>
  <c r="AR50" i="6"/>
  <c r="AR49" i="6"/>
  <c r="AR48" i="6"/>
  <c r="AR47" i="6"/>
  <c r="AR46" i="6"/>
  <c r="AR45" i="6"/>
  <c r="AR44" i="6"/>
  <c r="AR43" i="6"/>
  <c r="AR42" i="6"/>
  <c r="AR41" i="6"/>
  <c r="AR40" i="6"/>
  <c r="AR39" i="6"/>
  <c r="AR38" i="6"/>
  <c r="AR37" i="6"/>
  <c r="AR36" i="6"/>
  <c r="AR34" i="6"/>
  <c r="AR33" i="6"/>
  <c r="AR32" i="6"/>
  <c r="AR31" i="6"/>
  <c r="AR30" i="6"/>
  <c r="AR29" i="6"/>
  <c r="AR28" i="6"/>
  <c r="AR27" i="6"/>
  <c r="AR26" i="6"/>
  <c r="AR25" i="6"/>
  <c r="AR24" i="6"/>
  <c r="AR23" i="6"/>
  <c r="AR22" i="6"/>
  <c r="AR21" i="6"/>
  <c r="AR20" i="6"/>
  <c r="AR19" i="6"/>
  <c r="AR18" i="6"/>
  <c r="AR17" i="6"/>
  <c r="AR15" i="6"/>
  <c r="AR14" i="6"/>
  <c r="AR13" i="6"/>
  <c r="AR12" i="6"/>
  <c r="AR11" i="6"/>
  <c r="AR10" i="6"/>
  <c r="AR9" i="6"/>
  <c r="AR8" i="6"/>
  <c r="AR7" i="6"/>
  <c r="AR6" i="6"/>
  <c r="AG63" i="6"/>
  <c r="AG62" i="6"/>
  <c r="AG61" i="6"/>
  <c r="AG60" i="6"/>
  <c r="AG59" i="6"/>
  <c r="AG58" i="6"/>
  <c r="AG57" i="6"/>
  <c r="AG56" i="6"/>
  <c r="AG55" i="6"/>
  <c r="AG54" i="6"/>
  <c r="AG53" i="6"/>
  <c r="AG52" i="6"/>
  <c r="AG51" i="6"/>
  <c r="AG50" i="6"/>
  <c r="AG49" i="6"/>
  <c r="AG48" i="6"/>
  <c r="AG47" i="6"/>
  <c r="AG46" i="6"/>
  <c r="AG45" i="6"/>
  <c r="AG44" i="6"/>
  <c r="AG43" i="6"/>
  <c r="AG42" i="6"/>
  <c r="AG41" i="6"/>
  <c r="AG40" i="6"/>
  <c r="AG39" i="6"/>
  <c r="AG38" i="6"/>
  <c r="AG37" i="6"/>
  <c r="AG36" i="6"/>
  <c r="AG34" i="6"/>
  <c r="AG33" i="6"/>
  <c r="AG32" i="6"/>
  <c r="AG31" i="6"/>
  <c r="AG30" i="6"/>
  <c r="AG29" i="6"/>
  <c r="AG28" i="6"/>
  <c r="AG27" i="6"/>
  <c r="AG26" i="6"/>
  <c r="AG25" i="6"/>
  <c r="AG24" i="6"/>
  <c r="AG23" i="6"/>
  <c r="AG22" i="6"/>
  <c r="AG21" i="6"/>
  <c r="AG20" i="6"/>
  <c r="AG19" i="6"/>
  <c r="AG18" i="6"/>
  <c r="AG17" i="6"/>
  <c r="AG15" i="6"/>
  <c r="AG14" i="6"/>
  <c r="AG13" i="6"/>
  <c r="AG12" i="6"/>
  <c r="AG11" i="6"/>
  <c r="AG10" i="6"/>
  <c r="AG9" i="6"/>
  <c r="AG8" i="6"/>
  <c r="AG7" i="6"/>
  <c r="AG6" i="6"/>
  <c r="S53" i="6"/>
  <c r="S52" i="6"/>
  <c r="S51" i="6"/>
  <c r="S50" i="6"/>
  <c r="S49" i="6"/>
  <c r="S48" i="6"/>
  <c r="S47" i="6"/>
  <c r="S46" i="6"/>
  <c r="S45" i="6"/>
  <c r="S44" i="6"/>
  <c r="S43" i="6"/>
  <c r="S42" i="6"/>
  <c r="S41" i="6"/>
  <c r="S40" i="6"/>
  <c r="S39" i="6"/>
  <c r="S38" i="6"/>
  <c r="S37" i="6"/>
  <c r="S36" i="6"/>
  <c r="S26" i="6"/>
  <c r="S25" i="6"/>
  <c r="S24" i="6"/>
  <c r="S23" i="6"/>
  <c r="S22" i="6"/>
  <c r="S21" i="6"/>
  <c r="S20" i="6"/>
  <c r="S19" i="6"/>
  <c r="S18" i="6"/>
  <c r="S17" i="6"/>
  <c r="BH27" i="4"/>
  <c r="BH26" i="4"/>
  <c r="BH25" i="4"/>
  <c r="BH24" i="4"/>
  <c r="BH23" i="4"/>
  <c r="BH22" i="4"/>
  <c r="BH21" i="4"/>
  <c r="BH20" i="4"/>
  <c r="BH19" i="4"/>
  <c r="BH18" i="4"/>
  <c r="BH15" i="4"/>
  <c r="BH14" i="4"/>
  <c r="BH13" i="4"/>
  <c r="BH12" i="4"/>
  <c r="BH11" i="4"/>
  <c r="BH10" i="4"/>
  <c r="BH9" i="4"/>
  <c r="BH8" i="4"/>
  <c r="BH7" i="4"/>
  <c r="BH6" i="4"/>
  <c r="AT27" i="4"/>
  <c r="AT26" i="4"/>
  <c r="AT25" i="4"/>
  <c r="AT24" i="4"/>
  <c r="AT23" i="4"/>
  <c r="AT22" i="4"/>
  <c r="AT21" i="4"/>
  <c r="AT20" i="4"/>
  <c r="AT19" i="4"/>
  <c r="AT18" i="4"/>
  <c r="AT17" i="4"/>
  <c r="AT15" i="4"/>
  <c r="AT14" i="4"/>
  <c r="AT13" i="4"/>
  <c r="AT12" i="4"/>
  <c r="AT11" i="4"/>
  <c r="AT10" i="4"/>
  <c r="AT9" i="4"/>
  <c r="AT8" i="4"/>
  <c r="AT7" i="4"/>
  <c r="AT6" i="4"/>
  <c r="AT26" i="1"/>
  <c r="AT25" i="1"/>
  <c r="AT24" i="1"/>
  <c r="AT23" i="1"/>
  <c r="AT22" i="1"/>
  <c r="AT21" i="1"/>
  <c r="AT20" i="1"/>
  <c r="AT19" i="1"/>
  <c r="AT15" i="1"/>
  <c r="AT14" i="1"/>
  <c r="AT13" i="1"/>
  <c r="AT12" i="1"/>
  <c r="AT11" i="1"/>
  <c r="AT10" i="1"/>
  <c r="AT9" i="1"/>
  <c r="AT8" i="1"/>
  <c r="AT7" i="1"/>
  <c r="AT6" i="1"/>
  <c r="AI26" i="1"/>
  <c r="AI25" i="1"/>
  <c r="AI24" i="1"/>
  <c r="AI23" i="1"/>
  <c r="AI22" i="1"/>
  <c r="AI21" i="1"/>
  <c r="AI20" i="1"/>
  <c r="AI19" i="1"/>
  <c r="AI18" i="1"/>
  <c r="AI17" i="1"/>
  <c r="AI15" i="1"/>
  <c r="AI14" i="1"/>
  <c r="AI13" i="1"/>
  <c r="AI12" i="1"/>
  <c r="AI11" i="1"/>
  <c r="AI10" i="1"/>
  <c r="AI9" i="1"/>
  <c r="AI8" i="1"/>
  <c r="AI7" i="1"/>
  <c r="AI6" i="1"/>
  <c r="S141" i="6"/>
  <c r="S142" i="6"/>
  <c r="S143" i="6"/>
  <c r="S144" i="6"/>
  <c r="S145" i="6"/>
  <c r="S146" i="6"/>
  <c r="S140" i="6"/>
  <c r="S83" i="6"/>
  <c r="S84" i="6"/>
  <c r="S75" i="6"/>
  <c r="S76" i="6"/>
  <c r="S77" i="6"/>
  <c r="S78" i="6"/>
  <c r="S79" i="6"/>
  <c r="S80" i="6"/>
  <c r="S81" i="6"/>
  <c r="S82" i="6"/>
  <c r="S65" i="6"/>
  <c r="S66" i="6"/>
  <c r="S67" i="6"/>
  <c r="S68" i="6"/>
  <c r="S69" i="6"/>
  <c r="S70" i="6"/>
  <c r="S71" i="6"/>
  <c r="S72" i="6"/>
  <c r="S73" i="6"/>
  <c r="S74" i="6"/>
  <c r="S54" i="6"/>
  <c r="S55" i="6"/>
  <c r="S56" i="6"/>
  <c r="S57" i="6"/>
  <c r="S58" i="6"/>
  <c r="S59" i="6"/>
  <c r="S60" i="6"/>
  <c r="S61" i="6"/>
  <c r="S62" i="6"/>
  <c r="S63" i="6"/>
  <c r="S27" i="6"/>
  <c r="S28" i="6"/>
  <c r="S29" i="6"/>
  <c r="S30" i="6"/>
  <c r="S31" i="6"/>
  <c r="S32" i="6"/>
  <c r="S33" i="6"/>
  <c r="S34" i="6"/>
  <c r="S7" i="6"/>
  <c r="S8" i="6"/>
  <c r="S9" i="6"/>
  <c r="S10" i="6"/>
  <c r="S11" i="6"/>
  <c r="S12" i="6"/>
  <c r="S13" i="6"/>
  <c r="S14" i="6"/>
  <c r="S15" i="6"/>
  <c r="S6" i="6"/>
  <c r="BI18" i="4"/>
  <c r="BI19" i="4"/>
  <c r="AU6" i="4"/>
  <c r="AU7" i="4"/>
  <c r="AU8" i="4"/>
  <c r="AU9" i="4"/>
  <c r="AU10" i="4"/>
  <c r="AU11" i="4"/>
  <c r="AU12" i="4"/>
  <c r="AU13" i="4"/>
  <c r="AU14" i="4"/>
  <c r="AU15" i="4"/>
  <c r="AU17" i="4"/>
  <c r="AU18" i="4"/>
  <c r="AU19" i="4"/>
  <c r="AU20" i="4"/>
  <c r="AU21" i="4"/>
  <c r="AU22" i="4"/>
  <c r="AU23" i="4"/>
  <c r="AU24" i="4"/>
  <c r="AU25" i="4"/>
  <c r="AU26" i="4"/>
  <c r="AU27" i="4"/>
  <c r="AG17" i="4"/>
  <c r="AG18" i="4"/>
  <c r="AG19" i="4"/>
  <c r="AG20" i="4"/>
  <c r="AG21" i="4"/>
  <c r="AG22" i="4"/>
  <c r="AG23" i="4"/>
  <c r="AG24" i="4"/>
  <c r="AG25" i="4"/>
  <c r="AG26" i="4"/>
  <c r="AG27" i="4"/>
  <c r="AG7" i="4"/>
  <c r="AG8" i="4"/>
  <c r="AG9" i="4"/>
  <c r="AG10" i="4"/>
  <c r="AG11" i="4"/>
  <c r="AG12" i="4"/>
  <c r="AG13" i="4"/>
  <c r="AG14" i="4"/>
  <c r="AG15" i="4"/>
  <c r="AG6" i="4"/>
  <c r="R18" i="4"/>
  <c r="R19" i="4"/>
  <c r="R20" i="4"/>
  <c r="R21" i="4"/>
  <c r="R22" i="4"/>
  <c r="R23" i="4"/>
  <c r="R24" i="4"/>
  <c r="R25" i="4"/>
  <c r="R26" i="4"/>
  <c r="R27" i="4"/>
  <c r="R17" i="4"/>
  <c r="R7" i="4"/>
  <c r="R8" i="4"/>
  <c r="R9" i="4"/>
  <c r="R10" i="4"/>
  <c r="R11" i="4"/>
  <c r="R12" i="4"/>
  <c r="R13" i="4"/>
  <c r="R14" i="4"/>
  <c r="R15" i="4"/>
  <c r="R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tc={98EF3DB6-F390-4FD6-A886-8A610067DCD0}</author>
  </authors>
  <commentList>
    <comment ref="V5" authorId="0" shapeId="0" xr:uid="{98EF3DB6-F390-4FD6-A886-8A610067DCD0}">
      <text>
        <t xml:space="preserve">[Threaded comment]
Your version of Excel allows you to read this threaded comment; however, any edits to it will get removed if the file is opened in a newer version of Excel. Learn more: https://go.microsoft.com/fwlink/?linkid=870924
Comment:
    For automated flow, Record_Updated_Date will be same as Record_Created_Date, except when there is manual patching to remove record (Record_Status = X), then to update Record_Updated_Date. </t>
      </text>
    </comment>
  </commentList>
</comments>
</file>

<file path=xl/sharedStrings.xml><?xml version="1.0" encoding="utf-8"?>
<sst xmlns="http://schemas.openxmlformats.org/spreadsheetml/2006/main" count="12517" uniqueCount="615">
  <si>
    <t>Category</t>
  </si>
  <si>
    <t>Description</t>
  </si>
  <si>
    <t>Remarks</t>
  </si>
  <si>
    <t>Data retention being applied at all data layer(s) wherever applicable</t>
  </si>
  <si>
    <t>To use hash value for row level change detection to identify modified records efficiently (logging purpose) - for CUR layer wherever applicable</t>
  </si>
  <si>
    <r>
      <rPr>
        <b/>
        <u/>
        <sz val="11"/>
        <color rgb="FF000000"/>
        <rFont val="Calibri"/>
        <scheme val="minor"/>
      </rPr>
      <t xml:space="preserve">Hash-based Row Level Change Detection
</t>
    </r>
    <r>
      <rPr>
        <sz val="11"/>
        <color rgb="FF000000"/>
        <rFont val="Calibri"/>
        <scheme val="minor"/>
      </rPr>
      <t xml:space="preserve">1) Concat only required columns for change detection
2) Compute a stable hash for concatenated value
3) Compare the hash value 
Use a delimiter that cannot appear in data (e.g.: '^^') and a special NULL token (e.g.: '∅').
</t>
    </r>
    <r>
      <rPr>
        <b/>
        <i/>
        <sz val="11"/>
        <color rgb="FF000000"/>
        <rFont val="Calibri"/>
        <scheme val="minor"/>
      </rPr>
      <t xml:space="preserve">Example: 
</t>
    </r>
    <r>
      <rPr>
        <sz val="11"/>
        <color rgb="FF000000"/>
        <rFont val="Calibri"/>
        <scheme val="minor"/>
      </rPr>
      <t>md5(concat_ws('^^',
             COALESCE(col1, '∅'), COALESCE(col2, '∅'), COALESCE(col3, '∅')
))</t>
    </r>
  </si>
  <si>
    <t>Collect statistics on target table or impacted partitions in the target table</t>
  </si>
  <si>
    <t>analyze table &lt;table&gt; partition (&lt;partition column&gt; = &lt;value&gt;) compute statistics;
analyze table &lt;table&gt; compute statistics;</t>
  </si>
  <si>
    <t>COM to CUR - to always have record_created_date and record_updated_date to trace when is data loaded/modified in data lake</t>
  </si>
  <si>
    <t>Except for truncate reload approach</t>
  </si>
  <si>
    <t xml:space="preserve">Scripts must contains change log section, and it should be updated everytime script changed associated to user story/task. 
If possible, to indicate lines of query that associated with change log. </t>
  </si>
  <si>
    <t>In COM_T, keep the source column name and value as it is, create new column to store transformation logic</t>
  </si>
  <si>
    <t>Purpose: if there is downstream requires raw columns/data, it can be directly taken from COM_T</t>
  </si>
  <si>
    <t>COM &amp; CUR layer - all empty/blank value should convert to NULL</t>
  </si>
  <si>
    <t>All string values to be convert to UPPERCASE</t>
  </si>
  <si>
    <t>Unit testing
1) Row count 
2) Aggregation of numeric columns
3) Data loading logic - incremental, multiple run on same set of data</t>
  </si>
  <si>
    <t>Integration testing
1) Identify impacted downstream scripts
2) Validation on downstream result</t>
  </si>
  <si>
    <t>CUR - History table should always has additional partition column HIST_YEAR (YYYY format of etl_timestamp when record inserted to history table)</t>
  </si>
  <si>
    <t>To allow data retention based on HIST_YEAR</t>
  </si>
  <si>
    <t>COM_T - Records with empty value in key column(s) shall be stored separately in exception table with prefix "exc". E.g.: exc_t_rak_customer</t>
  </si>
  <si>
    <t>Data Layer</t>
  </si>
  <si>
    <t>Suggested Retention Period​</t>
  </si>
  <si>
    <t>Remarks​</t>
  </si>
  <si>
    <t>Exception checking</t>
  </si>
  <si>
    <t>Action for Exception</t>
  </si>
  <si>
    <t>Extraction</t>
  </si>
  <si>
    <t>-</t>
  </si>
  <si>
    <t> </t>
  </si>
  <si>
    <t>1) File - if file is missing</t>
  </si>
  <si>
    <t>1) Stop job (warning status) and email alert</t>
  </si>
  <si>
    <t>RAW​</t>
  </si>
  <si>
    <t>Full extraction – 90 days​
Delta extraction – 90 days​</t>
  </si>
  <si>
    <t>Retention key: ETL_DT​</t>
  </si>
  <si>
    <t>1) File - if file is empty
2) Row count not matching with extracted records from source.
3) Primay key column(s) null/empty
4) Primary key column(s) duplicate values
5) File - incorrect header/column delimiter/data type</t>
  </si>
  <si>
    <t xml:space="preserve">1) Stop job (warning status) and email alert
2) Stop job and report failure.
3) Move only exception records into exception tables and proceed flow with good records.
4) Move only duplicate records into exception tables and proceed flow with good records.
5) Stop job and report failure. </t>
  </si>
  <si>
    <t>COM_T</t>
  </si>
  <si>
    <t>Full / non-transaction: forever
Transaction: 9 years</t>
  </si>
  <si>
    <t>N/A
Retention key: YEAR_MONTH (Transaction Date)</t>
  </si>
  <si>
    <t>1) Primary key column(s) duplicate values</t>
  </si>
  <si>
    <r>
      <t>1a) Store duplicate records into exception tables, revert the record in target table to previous state (data integrity), continue job and complete with warning status and email alert.</t>
    </r>
    <r>
      <rPr>
        <i/>
        <sz val="11"/>
        <color rgb="FFFF0000"/>
        <rFont val="Calibri"/>
      </rPr>
      <t xml:space="preserve">
*Challenges: how to check for duplicate for final data in target table? as it always requires table/partition being overwriten to refresh/update data</t>
    </r>
    <r>
      <rPr>
        <sz val="11"/>
        <color rgb="FF000000"/>
        <rFont val="Calibri"/>
      </rPr>
      <t xml:space="preserve">
OR
1b) Store duplicate records into exception tables, revert the table data to previous state (data integrity), stop job and report failure. </t>
    </r>
  </si>
  <si>
    <t>COM_M​</t>
  </si>
  <si>
    <t>3 months​</t>
  </si>
  <si>
    <t>1) Same comment as COM_T</t>
  </si>
  <si>
    <t>CUR</t>
  </si>
  <si>
    <t>Full / non-transaction - forever
transaction - 9 years</t>
  </si>
  <si>
    <t>Final and complete data​
Retention key: YEAR_MONTH​ (Transaction date)</t>
  </si>
  <si>
    <t>1) Primary key column(s) duplicate values
2) Reference/value lookup not found (entire column empty), while previous state of data has value
3) Reference/value lookup not found (particular records)</t>
  </si>
  <si>
    <r>
      <t>1) Same comment as COM_T
2) Stop job and report failure
3) Proceed flow, store the field and value with missing reference in separate table, and send email notification.</t>
    </r>
    <r>
      <rPr>
        <i/>
        <sz val="11"/>
        <color rgb="FFFF0000"/>
        <rFont val="Calibri"/>
      </rPr>
      <t xml:space="preserve">
*Challenges: If reference being updated, how to re-trigger/process the impacted records for data completeness? </t>
    </r>
  </si>
  <si>
    <t>CUR (Downstream)​</t>
  </si>
  <si>
    <t>1) Same comment as COM_T
2) Stop job and report failure
3) Same comment as CUR</t>
  </si>
  <si>
    <t>CUR (History)​</t>
  </si>
  <si>
    <t>9 years​</t>
  </si>
  <si>
    <t>Retention key: END_PERIOD​ (Log timestamp)</t>
  </si>
  <si>
    <t>Scenario</t>
  </si>
  <si>
    <t>Type of Extraction</t>
  </si>
  <si>
    <t>Type of Data</t>
  </si>
  <si>
    <t>Primary Key(s) Exists for Individual Record</t>
  </si>
  <si>
    <t>RAW</t>
  </si>
  <si>
    <t>COM_R</t>
  </si>
  <si>
    <t>COM_M (Optional)</t>
  </si>
  <si>
    <t xml:space="preserve">CUR_H
</t>
  </si>
  <si>
    <r>
      <rPr>
        <b/>
        <sz val="11"/>
        <color rgb="FF000000"/>
        <rFont val="Calibri"/>
        <scheme val="minor"/>
      </rPr>
      <t xml:space="preserve">Manual Patching
</t>
    </r>
    <r>
      <rPr>
        <i/>
        <sz val="11"/>
        <color rgb="FF000000"/>
        <rFont val="Calibri"/>
        <scheme val="minor"/>
      </rPr>
      <t>(update record adhoc &amp; manually with custom script in data lake)</t>
    </r>
  </si>
  <si>
    <t>Partition</t>
  </si>
  <si>
    <t>Data Loading</t>
  </si>
  <si>
    <t>Model 1A</t>
  </si>
  <si>
    <t>Full</t>
  </si>
  <si>
    <t>Master / reference</t>
  </si>
  <si>
    <t>Y</t>
  </si>
  <si>
    <t>ETL_DT</t>
  </si>
  <si>
    <t xml:space="preserve">Append only.
Hash_value creation. </t>
  </si>
  <si>
    <t>Update insert records with Record_Status = A 
(change detection using RAW hash_value).
Removed records with Record_Status = X</t>
  </si>
  <si>
    <t>Update insert data 
(Identify delta from COM_R based on Record_Updated_Date)</t>
  </si>
  <si>
    <t>Truncate reload 
(full data process from COM_T)</t>
  </si>
  <si>
    <t xml:space="preserve">Update insert data.
Hash_value creation.
Change detection by using CUR hash_value comparison.
</t>
  </si>
  <si>
    <t>Store previous state of changed/removed records</t>
  </si>
  <si>
    <t>Model 1</t>
  </si>
  <si>
    <t>Append only.</t>
  </si>
  <si>
    <t>Take all latest records from RAW, retain Record_Created_Date from COM_R if records exist. 
Removed records with Record_Status = X</t>
  </si>
  <si>
    <t>N/A</t>
  </si>
  <si>
    <t>Update insert data. 
Removed records with Record_Status = X</t>
  </si>
  <si>
    <t>Update insert data.
Removed records with Record_Status = X.</t>
  </si>
  <si>
    <t>Model 2A</t>
  </si>
  <si>
    <t>Transaction / balance</t>
  </si>
  <si>
    <t>Append only</t>
  </si>
  <si>
    <t>Optional 
(data date column)</t>
  </si>
  <si>
    <t>Truncate reload</t>
  </si>
  <si>
    <t xml:space="preserve">Does not support historical batch_date data update from RAW to COM_T/CUR. 
Unless to process data for all batch_date afterwards in sequential and ascending order. </t>
  </si>
  <si>
    <t>Model 2B (Snapshot)</t>
  </si>
  <si>
    <t>Partition by Year_Month of Snapshot_Date, delete &amp; re-insert for impacted snapshot_date.</t>
  </si>
  <si>
    <t xml:space="preserve">Does not support historical batch_date data update from RAW to COM_T. 
Unless to process data for all batch_date afterwards in sequential and ascending order. </t>
  </si>
  <si>
    <t>Model 3</t>
  </si>
  <si>
    <t>Delta</t>
  </si>
  <si>
    <t xml:space="preserve">Update insert records with Record_Status = A.
Removed records with Record_Status = X (patching). </t>
  </si>
  <si>
    <t xml:space="preserve">Update insert data 
Removed records with Record_Status = X (patching). </t>
  </si>
  <si>
    <t xml:space="preserve">Update insert data.
(Identify delta from COM_T based on Record_Updated_Date = {batch_date})
Option 1: Delta
Update insert data based on delta key columns.
Suitable for table with lots of columns where hash value creation is less feasible. 
Option 2: Delta + Hash Value
Update insert data based on comparision of hash value of delta. 
Suitable for table with limited columns. </t>
  </si>
  <si>
    <t>Store previous state of changed/removed records.</t>
  </si>
  <si>
    <t>When perform record update for data patching:
1) Always perform in COM_T layer 
2) Update Record_Updated_Date, ETL_DT, and ETL_Timestamp column to current date/time for tracking purpose</t>
  </si>
  <si>
    <t>Model 4</t>
  </si>
  <si>
    <t xml:space="preserve">Update insert data.
(Identify delta from COM_T based on Record_Updated_Date = {batch_date})
</t>
  </si>
  <si>
    <r>
      <t xml:space="preserve">Model 5A: 
Example 1 - Scenario A 
</t>
    </r>
    <r>
      <rPr>
        <i/>
        <strike/>
        <sz val="11"/>
        <color theme="1"/>
        <rFont val="Calibri"/>
        <family val="2"/>
        <scheme val="minor"/>
      </rPr>
      <t>(Incremental insert only)</t>
    </r>
  </si>
  <si>
    <r>
      <t xml:space="preserve">Incremental
</t>
    </r>
    <r>
      <rPr>
        <i/>
        <strike/>
        <sz val="11"/>
        <color rgb="FF000000"/>
        <rFont val="Calibri"/>
        <scheme val="minor"/>
      </rPr>
      <t>(based on timestamp field)</t>
    </r>
  </si>
  <si>
    <t>N</t>
  </si>
  <si>
    <t xml:space="preserve">Append only with Record_Status = A.
</t>
  </si>
  <si>
    <t xml:space="preserve">Delete and re-insert batch of records with Record_Status = A from RAW. 
*requires to store RAW etl_dt info in COM_T (raw_incremental_etl_dt), and delete insert records based on that COM_T.raw_incremental_etl_dt = RAW.etl_dt
Removed records with Record_Status = X (patching). </t>
  </si>
  <si>
    <t xml:space="preserve">1) Identify keyDateColumn from COM_T where Record_Updated_Date = {batch_date}
2) Get all records from COM_T where keyDateColumn exists in Step 1 and COM_T.Record_Status = 'A'
3) Delete and re-insert batch of records in Step 2 for impacted partition(s)
</t>
  </si>
  <si>
    <t xml:space="preserve">In the case when data source using combination of Model 5A and 5B for COM_T/CUR data update: 
- all jobs that needs to get incremental data from this table shall scheduled to run before Model 5B loading process. Else, it will not get complete incremental dataset of the day.
- not support / cannot rerun job for historical batch date from RAW to COM_T, else data might be haywired/outdated. </t>
  </si>
  <si>
    <r>
      <rPr>
        <sz val="11"/>
        <color rgb="FF000000"/>
        <rFont val="Calibri"/>
        <scheme val="minor"/>
      </rPr>
      <t xml:space="preserve">Model 5B: 
Example 1 - Scenario B
</t>
    </r>
    <r>
      <rPr>
        <i/>
        <sz val="11"/>
        <color rgb="FF000000"/>
        <rFont val="Calibri"/>
        <scheme val="minor"/>
      </rPr>
      <t>(Date range update insert)</t>
    </r>
  </si>
  <si>
    <r>
      <t xml:space="preserve">Delta
</t>
    </r>
    <r>
      <rPr>
        <i/>
        <sz val="11"/>
        <color theme="1"/>
        <rFont val="Calibri"/>
        <family val="2"/>
        <scheme val="minor"/>
      </rPr>
      <t>(based on date range)</t>
    </r>
  </si>
  <si>
    <t xml:space="preserve">Delete and re-insert batch of records with Record_Status = A for defined date range in RAW.
Removed records with Record_Status = X (patching). </t>
  </si>
  <si>
    <t xml:space="preserve">Delete and re-insert batch of records with Record_Status = A from RAW based on date column.
Removed records with Record_Status = X (patching). 
</t>
  </si>
  <si>
    <t>Model 6</t>
  </si>
  <si>
    <r>
      <rPr>
        <sz val="11"/>
        <color rgb="FF000000"/>
        <rFont val="Calibri"/>
        <scheme val="minor"/>
      </rPr>
      <t xml:space="preserve">Delta
</t>
    </r>
    <r>
      <rPr>
        <i/>
        <sz val="11"/>
        <color rgb="FF000000"/>
        <rFont val="Calibri"/>
        <scheme val="minor"/>
      </rPr>
      <t>(batch of records based on reference columns)</t>
    </r>
  </si>
  <si>
    <t xml:space="preserve">Delete and re-insert batch of records with Record_Status = A based on reference columns.
Removed records with Record_Status = X (patching). </t>
  </si>
  <si>
    <t xml:space="preserve">Delete and re-insert batch of records with Record_Status = A from RAW based on reference column.
Removed records with Record_Status = X (patching). </t>
  </si>
  <si>
    <t xml:space="preserve">1) Identify keyColumn from COM_T where Record_Updated_Date = {batch_date}
2) Get all records from COM_T where keyColumn exists in Step 1 and COM_T.Record_Status = 'A'
3) Delete and re-insert batch of records in Step 2 for impacted partition(s)
</t>
  </si>
  <si>
    <t>Example 1: MHBOS - m_branch</t>
  </si>
  <si>
    <t>CUR_H</t>
  </si>
  <si>
    <t>concat all column from source</t>
  </si>
  <si>
    <t>Partition Key</t>
  </si>
  <si>
    <t>Primary Key</t>
  </si>
  <si>
    <t>inherit from RAW</t>
  </si>
  <si>
    <t>This is record creation date in data lake layer</t>
  </si>
  <si>
    <t>This is record data last updated date in data lake layer</t>
  </si>
  <si>
    <t>This is data processing date
(current date/time)</t>
  </si>
  <si>
    <t>inherit from COM_R</t>
  </si>
  <si>
    <t>concat all columns in CUR format</t>
  </si>
  <si>
    <t>Inherit from CUR</t>
  </si>
  <si>
    <t>YYYYMM based on current timestamp</t>
  </si>
  <si>
    <t>branch_id</t>
  </si>
  <si>
    <t>branch_name</t>
  </si>
  <si>
    <t>branch_abbreviation</t>
  </si>
  <si>
    <t>buy_limit</t>
  </si>
  <si>
    <t>hash_value</t>
  </si>
  <si>
    <t>ETL_Timestamp</t>
  </si>
  <si>
    <t>Record_Status</t>
  </si>
  <si>
    <t>Record_Created_Date</t>
  </si>
  <si>
    <t>Record_Updated_Date</t>
  </si>
  <si>
    <t>transformed_branch_name</t>
  </si>
  <si>
    <t>Log_Period</t>
  </si>
  <si>
    <t>Day 1</t>
  </si>
  <si>
    <t>001</t>
  </si>
  <si>
    <t>KENANGA INVESTMENT BANK BHD - HQ</t>
  </si>
  <si>
    <t>KLM</t>
  </si>
  <si>
    <t>300000000</t>
  </si>
  <si>
    <t>Day 1 hh:mm:ss</t>
  </si>
  <si>
    <t>A</t>
  </si>
  <si>
    <t>MHBOS_001</t>
  </si>
  <si>
    <t>HQ</t>
  </si>
  <si>
    <t>002</t>
  </si>
  <si>
    <t>KENANGA INVESTMENT BANK BHD - MIRI</t>
  </si>
  <si>
    <t>MIRI</t>
  </si>
  <si>
    <t>MHBOS_002</t>
  </si>
  <si>
    <t>003</t>
  </si>
  <si>
    <t>KENANGA INVESTMENT BANK BHD - KUC</t>
  </si>
  <si>
    <t>KUC</t>
  </si>
  <si>
    <t>MHBOS_003</t>
  </si>
  <si>
    <t>004</t>
  </si>
  <si>
    <t>KENANGA INVESTMENT BANK BHD - JB</t>
  </si>
  <si>
    <t>JB</t>
  </si>
  <si>
    <t>MHBOS_004</t>
  </si>
  <si>
    <t>005</t>
  </si>
  <si>
    <t>KENANGA INVESTMENT BANK BHD - PJ</t>
  </si>
  <si>
    <t>PJ</t>
  </si>
  <si>
    <t>MHBOS_005</t>
  </si>
  <si>
    <t>006</t>
  </si>
  <si>
    <t>KENANGA INVESTMENT BANK BHD - USJ</t>
  </si>
  <si>
    <t>USJ</t>
  </si>
  <si>
    <t>MHBOS_006</t>
  </si>
  <si>
    <t>007</t>
  </si>
  <si>
    <t>KENANGA INVESTMENT BANK BHD - KLG</t>
  </si>
  <si>
    <t>KLANG</t>
  </si>
  <si>
    <t>MHBOS_007</t>
  </si>
  <si>
    <t>KLG</t>
  </si>
  <si>
    <t>008</t>
  </si>
  <si>
    <t>KENANGA INVESTMENT BANK BHD - MUAR</t>
  </si>
  <si>
    <t>MUAR</t>
  </si>
  <si>
    <t>MHBOS_008</t>
  </si>
  <si>
    <t>009</t>
  </si>
  <si>
    <t>KENANGA INVESTMENT BANK BHD - SGT</t>
  </si>
  <si>
    <t>SGAMAT</t>
  </si>
  <si>
    <t>MHBOS_009</t>
  </si>
  <si>
    <t>SGT</t>
  </si>
  <si>
    <t>010</t>
  </si>
  <si>
    <t>KENANGA INVESTMENT BANK BHD - KLU</t>
  </si>
  <si>
    <t>KLUANG</t>
  </si>
  <si>
    <t>MHBOS_010</t>
  </si>
  <si>
    <t>KLU</t>
  </si>
  <si>
    <t>Update insert based on Primary Key - Identify changed records by comparing hash_value</t>
  </si>
  <si>
    <t>Update insert based on Primary Key - Identify delta based on COM_R.Record_Updated_Date</t>
  </si>
  <si>
    <t xml:space="preserve">Update insert based on Primary Key - Identify changed records by comparing hash_value. </t>
  </si>
  <si>
    <t>Day 2</t>
  </si>
  <si>
    <t>400000000</t>
  </si>
  <si>
    <t>Day 2 hh:mm:ss</t>
  </si>
  <si>
    <t>YYYYMM</t>
  </si>
  <si>
    <t>X</t>
  </si>
  <si>
    <t>Take all from RAW</t>
  </si>
  <si>
    <t>Take all from COM_R</t>
  </si>
  <si>
    <t xml:space="preserve">Option 1: Update insert based on Primary Key - Identify changed records by comparing hash_value. </t>
  </si>
  <si>
    <t>Example 1: MHBOS - t_client_balance</t>
  </si>
  <si>
    <t>cds_acc_no</t>
  </si>
  <si>
    <t>stock_no</t>
  </si>
  <si>
    <t>tran_date</t>
  </si>
  <si>
    <t>qty</t>
  </si>
  <si>
    <t>con_no</t>
  </si>
  <si>
    <t>date_created</t>
  </si>
  <si>
    <t>stock_id</t>
  </si>
  <si>
    <t>transaction_date</t>
  </si>
  <si>
    <t>065006488</t>
  </si>
  <si>
    <t>7022</t>
  </si>
  <si>
    <t>2025-10-31 00:00:00.000</t>
  </si>
  <si>
    <t>-200000</t>
  </si>
  <si>
    <t>31/10/25 222HJ</t>
  </si>
  <si>
    <t>2025-11-03 00:00:00.000</t>
  </si>
  <si>
    <t>8176</t>
  </si>
  <si>
    <t>1846100</t>
  </si>
  <si>
    <t>31/10/25 222LY</t>
  </si>
  <si>
    <t>073836256</t>
  </si>
  <si>
    <t>-1846100</t>
  </si>
  <si>
    <t>31/10/25 222ML</t>
  </si>
  <si>
    <t>073836264</t>
  </si>
  <si>
    <t>31/10/25 222MM</t>
  </si>
  <si>
    <t>080085582</t>
  </si>
  <si>
    <t>0327</t>
  </si>
  <si>
    <t>16667605</t>
  </si>
  <si>
    <t>31/10/25 C23VZ</t>
  </si>
  <si>
    <t>0327MM</t>
  </si>
  <si>
    <t>-16667605</t>
  </si>
  <si>
    <t>31/10/25 C23VY</t>
  </si>
  <si>
    <t>080360498</t>
  </si>
  <si>
    <t>25408840</t>
  </si>
  <si>
    <t>31/10/25 C23W3</t>
  </si>
  <si>
    <t>-25408840</t>
  </si>
  <si>
    <t>31/10/25 C23W2</t>
  </si>
  <si>
    <t>085567618</t>
  </si>
  <si>
    <t>0172</t>
  </si>
  <si>
    <t>200000</t>
  </si>
  <si>
    <t>31/10/25 C23XX</t>
  </si>
  <si>
    <t>001411776</t>
  </si>
  <si>
    <t>0652IL</t>
  </si>
  <si>
    <t>-20000</t>
  </si>
  <si>
    <t>31/10/25 C23SN</t>
  </si>
  <si>
    <t>Truncate reload table</t>
  </si>
  <si>
    <t>31/10/25 C23W2Z</t>
  </si>
  <si>
    <t>250000</t>
  </si>
  <si>
    <t>Model 2B (keep snapshot in CUR)</t>
  </si>
  <si>
    <t>snapshot_date</t>
  </si>
  <si>
    <t>Overwrite partition</t>
  </si>
  <si>
    <t>Example 1: MHBOS - m_client</t>
  </si>
  <si>
    <t>Data lake internal remarks, mainly for manual data patching comment/audit purpose</t>
  </si>
  <si>
    <t>client_no</t>
  </si>
  <si>
    <t>client_name</t>
  </si>
  <si>
    <t>client_name1</t>
  </si>
  <si>
    <t>client_name2</t>
  </si>
  <si>
    <t>ic_no_new</t>
  </si>
  <si>
    <t>date_closed</t>
  </si>
  <si>
    <t>prohibit_trade</t>
  </si>
  <si>
    <t>date_change</t>
  </si>
  <si>
    <t>record_status</t>
  </si>
  <si>
    <t>Record_Remarks</t>
  </si>
  <si>
    <t>transformed_account_name_full</t>
  </si>
  <si>
    <t>account_id</t>
  </si>
  <si>
    <t>account_full_name</t>
  </si>
  <si>
    <t>account_status</t>
  </si>
  <si>
    <t>KE2108262</t>
  </si>
  <si>
    <t>KENANGA NOMINEES (ASING) SDN BHD</t>
  </si>
  <si>
    <t>DUAN XINGCONG</t>
  </si>
  <si>
    <t>EB9013617</t>
  </si>
  <si>
    <t>2025-11-28 00:00:00.000</t>
  </si>
  <si>
    <t xml:space="preserve">KENANGA NOMINEES (ASING) SDN BHD DUAN XINGCONG </t>
  </si>
  <si>
    <t>ACTIVE</t>
  </si>
  <si>
    <t>MGR005919</t>
  </si>
  <si>
    <t>KENANGA NOMINEES (TEMPATAN) SDN BHD</t>
  </si>
  <si>
    <t>PLEDGED SECURITIES ACCOUNT FOR</t>
  </si>
  <si>
    <t>SREETHARARAJ A/L NADARAJAH</t>
  </si>
  <si>
    <t>870828144327</t>
  </si>
  <si>
    <t>KENANGA NOMINEES (TEMPATAN) SDN BHD PLEDGED SECURITIES ACCOUNT FOR SREETHARARAJ A/L NADARAJAH</t>
  </si>
  <si>
    <t>FO2021090</t>
  </si>
  <si>
    <t>FONG HIANG LAENG MAXWELL</t>
  </si>
  <si>
    <t>921008045219</t>
  </si>
  <si>
    <t>2025-11-28 18:03:45.610</t>
  </si>
  <si>
    <t xml:space="preserve">FONG HIANG LAENG MAXWELL  </t>
  </si>
  <si>
    <t>GR2132910</t>
  </si>
  <si>
    <t>GREAT EASTERN LIFE ASSURANCE (MALAYSIA) BERHAD FOR</t>
  </si>
  <si>
    <t>GREAT EASTERN LIFE ASSURANCE (MALAYSIA) BERHAD (SHF T2)</t>
  </si>
  <si>
    <t>198201013982</t>
  </si>
  <si>
    <t>2025-11-28 17:52:59.447</t>
  </si>
  <si>
    <t xml:space="preserve">GREAT EASTERN LIFE ASSURANCE (MALAYSIA) BERHAD FOR GREAT EASTERN LIFE ASSURANCE (MALAYSIA) BERHAD (SHF T2) </t>
  </si>
  <si>
    <t>MO0326710</t>
  </si>
  <si>
    <t>MOK KIN SOON</t>
  </si>
  <si>
    <t>590120086340</t>
  </si>
  <si>
    <t>2025-11-28 17:06:23.037</t>
  </si>
  <si>
    <t xml:space="preserve">MOK KIN SOON  </t>
  </si>
  <si>
    <t>NG0327522</t>
  </si>
  <si>
    <t>NG WENG CHUAH</t>
  </si>
  <si>
    <t>460621075003</t>
  </si>
  <si>
    <t>2025-11-28 17:02:21.400</t>
  </si>
  <si>
    <t xml:space="preserve">NG WENG CHUAH  </t>
  </si>
  <si>
    <t>WO0193856</t>
  </si>
  <si>
    <t>WONG SIONG SEH</t>
  </si>
  <si>
    <t>620515135009</t>
  </si>
  <si>
    <t>2025-11-28 16:44:45.463</t>
  </si>
  <si>
    <t xml:space="preserve">WONG SIONG SEH  </t>
  </si>
  <si>
    <t>CH0297285</t>
  </si>
  <si>
    <t>CHONG HOY KHEE</t>
  </si>
  <si>
    <t>561216105873</t>
  </si>
  <si>
    <t>2025-11-28 16:28:13.890</t>
  </si>
  <si>
    <t xml:space="preserve">CHONG HOY KHEE  </t>
  </si>
  <si>
    <t>LI0373025</t>
  </si>
  <si>
    <t>LIM EE LEONG</t>
  </si>
  <si>
    <t>800618045397</t>
  </si>
  <si>
    <t>2025-11-28 16:22:40.120</t>
  </si>
  <si>
    <t xml:space="preserve">LIM EE LEONG  </t>
  </si>
  <si>
    <t>KE0399683</t>
  </si>
  <si>
    <t>KEENYAP PROPERTIES SDN BHD</t>
  </si>
  <si>
    <t>55743M</t>
  </si>
  <si>
    <t>2025-11-28 15:54:43.450</t>
  </si>
  <si>
    <t xml:space="preserve">KEENYAP PROPERTIES SDN BHD  </t>
  </si>
  <si>
    <t>Append Only</t>
  </si>
  <si>
    <t>Update insert based on Primary Key</t>
  </si>
  <si>
    <t xml:space="preserve">Update insert based on Primary Key - Identify delta based on COM_T.Record_Updated_Date, then identify changed records by comparing hash_value. </t>
  </si>
  <si>
    <t>ZEB9013617</t>
  </si>
  <si>
    <t>2025-12-01 00:00:00.000</t>
  </si>
  <si>
    <t xml:space="preserve">this record not consider change, as the source updated column not exists/impact CUR
</t>
  </si>
  <si>
    <t>LI0373025LIM EE LEONG  ACTIVEA</t>
  </si>
  <si>
    <t>2025-12-01 17:06:23.037</t>
  </si>
  <si>
    <t>KE0399683KEENYAP PROPERTIES SDN BHD  ACTIVEA</t>
  </si>
  <si>
    <t>B</t>
  </si>
  <si>
    <t>KEENYAP PROPERTIES SDN. BHD.</t>
  </si>
  <si>
    <t>2025-12-01 15:54:43.450</t>
  </si>
  <si>
    <t>LI0323883</t>
  </si>
  <si>
    <t>LIM SOOT LAN  DORIS</t>
  </si>
  <si>
    <t>570620075586</t>
  </si>
  <si>
    <t>2025-12-01 17:47:02.370</t>
  </si>
  <si>
    <t>PROHIBITED</t>
  </si>
  <si>
    <t xml:space="preserve">KEENYAP PROPERTIES SDN. BHD.  </t>
  </si>
  <si>
    <t xml:space="preserve">LIM SOOT LAN  DORIS  </t>
  </si>
  <si>
    <t xml:space="preserve">Example 1: MHBOS - t_ledger_hd </t>
  </si>
  <si>
    <t>tran_amt</t>
  </si>
  <si>
    <t>tran_qty</t>
  </si>
  <si>
    <t>YEAR</t>
  </si>
  <si>
    <t>amount</t>
  </si>
  <si>
    <t>quantity</t>
  </si>
  <si>
    <t>012</t>
  </si>
  <si>
    <t>S571054A</t>
  </si>
  <si>
    <t>2025-09-19 00:00:00.000</t>
  </si>
  <si>
    <t>5253</t>
  </si>
  <si>
    <t>-2050.00</t>
  </si>
  <si>
    <t>-5000</t>
  </si>
  <si>
    <t>01INT001</t>
  </si>
  <si>
    <t>2025-10-21 00:00:00.000</t>
  </si>
  <si>
    <t>7113</t>
  </si>
  <si>
    <t>-5062.50</t>
  </si>
  <si>
    <t>-7500</t>
  </si>
  <si>
    <t>2025-11-20 00:00:00.000</t>
  </si>
  <si>
    <t>5184</t>
  </si>
  <si>
    <t>-17223.50</t>
  </si>
  <si>
    <t>-25900</t>
  </si>
  <si>
    <t>058</t>
  </si>
  <si>
    <t>S571055A</t>
  </si>
  <si>
    <t>7250</t>
  </si>
  <si>
    <t>-6969.00</t>
  </si>
  <si>
    <t>-13800</t>
  </si>
  <si>
    <t>3336</t>
  </si>
  <si>
    <t>-26000.00</t>
  </si>
  <si>
    <t>-10000</t>
  </si>
  <si>
    <t>-18021.50</t>
  </si>
  <si>
    <t>-27100</t>
  </si>
  <si>
    <t>S571056A</t>
  </si>
  <si>
    <t>0225</t>
  </si>
  <si>
    <t>-19646.00</t>
  </si>
  <si>
    <t>-9400</t>
  </si>
  <si>
    <t>CLR001671</t>
  </si>
  <si>
    <t>5216</t>
  </si>
  <si>
    <t>-2888.00</t>
  </si>
  <si>
    <t>-7600</t>
  </si>
  <si>
    <t>031</t>
  </si>
  <si>
    <t>S571057A</t>
  </si>
  <si>
    <t>6963</t>
  </si>
  <si>
    <t>-5500.00</t>
  </si>
  <si>
    <t>068</t>
  </si>
  <si>
    <t>7139</t>
  </si>
  <si>
    <t>-4393.50</t>
  </si>
  <si>
    <t>-30300</t>
  </si>
  <si>
    <t>Update insert based on Primary Key - identify delta based on COM_R.Record_Updated_Date</t>
  </si>
  <si>
    <t>065</t>
  </si>
  <si>
    <t>-66.50</t>
  </si>
  <si>
    <t>-100</t>
  </si>
  <si>
    <t xml:space="preserve">123456-manual patch for irem data issue
</t>
  </si>
  <si>
    <t>Manual patching to delete record</t>
  </si>
  <si>
    <t>012S571054A2025-09-19 00:00:00.0005253-2050.00-5000A</t>
  </si>
  <si>
    <t>-6500.00</t>
  </si>
  <si>
    <t>-30000</t>
  </si>
  <si>
    <t>Example 1: MHBOS - t_ledger_dt</t>
  </si>
  <si>
    <t xml:space="preserve">Scenario A - Incremental Insert </t>
  </si>
  <si>
    <t>RAW - Table 1</t>
  </si>
  <si>
    <t>key_date</t>
  </si>
  <si>
    <t>YEAR_MONTH</t>
  </si>
  <si>
    <t>Day 1 11am</t>
  </si>
  <si>
    <t>TA0157633</t>
  </si>
  <si>
    <t>RTA30007</t>
  </si>
  <si>
    <t>2025-10-15 00:00:00.000</t>
  </si>
  <si>
    <t>18207.27</t>
  </si>
  <si>
    <t>2025-11-03 11:19:39.420</t>
  </si>
  <si>
    <t>Day 1 11:mm:ss</t>
  </si>
  <si>
    <t>RTA39920</t>
  </si>
  <si>
    <t>2025-10-23 00:00:00.000</t>
  </si>
  <si>
    <t>107.35</t>
  </si>
  <si>
    <t>2025-11-03 11:19:39.423</t>
  </si>
  <si>
    <t>LO2057095</t>
  </si>
  <si>
    <t>RT17068287</t>
  </si>
  <si>
    <t>12.96</t>
  </si>
  <si>
    <t>2025-11-03 11:19:57.870</t>
  </si>
  <si>
    <t>CR2119391</t>
  </si>
  <si>
    <t>RTA12820</t>
  </si>
  <si>
    <t>2025-10-01 00:00:00.000</t>
  </si>
  <si>
    <t>445.38</t>
  </si>
  <si>
    <t>2025-11-03 11:20:03.000</t>
  </si>
  <si>
    <t>RTA12821</t>
  </si>
  <si>
    <t>1889.96</t>
  </si>
  <si>
    <t>2025-11-03 11:20:03.003</t>
  </si>
  <si>
    <t>RTA14498</t>
  </si>
  <si>
    <t>2025-10-02 00:00:00.000</t>
  </si>
  <si>
    <t>1268.44</t>
  </si>
  <si>
    <t>RAK039537</t>
  </si>
  <si>
    <t>S849011A</t>
  </si>
  <si>
    <t>2025-10-30 00:00:00.000</t>
  </si>
  <si>
    <t>2670.86</t>
  </si>
  <si>
    <t>2025-11-03 11:36:17.620</t>
  </si>
  <si>
    <t>RAK039696</t>
  </si>
  <si>
    <t>B849017A</t>
  </si>
  <si>
    <t>-3245.30</t>
  </si>
  <si>
    <t>CX00843673</t>
  </si>
  <si>
    <t>302.78</t>
  </si>
  <si>
    <t>RAK040361</t>
  </si>
  <si>
    <t>S849026A</t>
  </si>
  <si>
    <t>42040.16</t>
  </si>
  <si>
    <t>RAW - Table 1 - Append only</t>
  </si>
  <si>
    <t>Day 1 12pm</t>
  </si>
  <si>
    <t>MA2131052</t>
  </si>
  <si>
    <t>RTA50205</t>
  </si>
  <si>
    <t>68918.15</t>
  </si>
  <si>
    <t>2025-11-03 12:00:36.490</t>
  </si>
  <si>
    <t>Day 1 12:mm:ss</t>
  </si>
  <si>
    <t>LA2029139</t>
  </si>
  <si>
    <t>RT04281959</t>
  </si>
  <si>
    <t>-14000.00</t>
  </si>
  <si>
    <t>2025-11-03 12:01:02.897</t>
  </si>
  <si>
    <t>KO2003541</t>
  </si>
  <si>
    <t>RTA28226</t>
  </si>
  <si>
    <t>2025-10-14 00:00:00.000</t>
  </si>
  <si>
    <t>2200.00</t>
  </si>
  <si>
    <t>2025-11-03 12:01:45.247</t>
  </si>
  <si>
    <t>WO0309916</t>
  </si>
  <si>
    <t>RTA36403</t>
  </si>
  <si>
    <t>7887.29</t>
  </si>
  <si>
    <t>2025-11-03 12:01:49.850</t>
  </si>
  <si>
    <t>GA0350586</t>
  </si>
  <si>
    <t>RTA47952</t>
  </si>
  <si>
    <t>2000.00</t>
  </si>
  <si>
    <t>2025-11-03 12:04:40.670</t>
  </si>
  <si>
    <t>YA0676073</t>
  </si>
  <si>
    <t>B874064A</t>
  </si>
  <si>
    <t>-4566.36</t>
  </si>
  <si>
    <t>2025-11-03 12:05:02.833</t>
  </si>
  <si>
    <t>RT21548602</t>
  </si>
  <si>
    <t>4566.36</t>
  </si>
  <si>
    <t>2025-11-03 12:05:02.840</t>
  </si>
  <si>
    <t>LI0152720</t>
  </si>
  <si>
    <t>RT01554604</t>
  </si>
  <si>
    <t>-22.00</t>
  </si>
  <si>
    <t>2025-11-03 12:06:28.990</t>
  </si>
  <si>
    <t>Day 2 8am</t>
  </si>
  <si>
    <t>MGN201969</t>
  </si>
  <si>
    <t>S969270A</t>
  </si>
  <si>
    <t>14618.85</t>
  </si>
  <si>
    <t>2025-11-03 21:22:45.010</t>
  </si>
  <si>
    <t>Day 2 08:mm:ss</t>
  </si>
  <si>
    <t>MGN005207</t>
  </si>
  <si>
    <t>B968419A</t>
  </si>
  <si>
    <t>-8914.76</t>
  </si>
  <si>
    <t>RAK200040</t>
  </si>
  <si>
    <t>B983852A</t>
  </si>
  <si>
    <t>57.01</t>
  </si>
  <si>
    <t>2025-11-04 07:12:29.273</t>
  </si>
  <si>
    <t>B983853A</t>
  </si>
  <si>
    <t>12587.34</t>
  </si>
  <si>
    <t>IN0711530</t>
  </si>
  <si>
    <t>B983854A</t>
  </si>
  <si>
    <t>6759.49</t>
  </si>
  <si>
    <t>B983855A</t>
  </si>
  <si>
    <t>7370.16</t>
  </si>
  <si>
    <t>B983856A</t>
  </si>
  <si>
    <t>1444.08</t>
  </si>
  <si>
    <t>B983857A</t>
  </si>
  <si>
    <t>84411.20</t>
  </si>
  <si>
    <t>B983858A</t>
  </si>
  <si>
    <t>1393.11</t>
  </si>
  <si>
    <t>B983859A</t>
  </si>
  <si>
    <t>1285956.24</t>
  </si>
  <si>
    <t>Scenario B - Date Range Update</t>
  </si>
  <si>
    <t>RAW - Table 2</t>
  </si>
  <si>
    <t>Date range</t>
  </si>
  <si>
    <t>Delete and insert record based on date range detected in RAW</t>
  </si>
  <si>
    <t>Delete and insert record based on date range detected in COM_R based on COM_R.Record_Created_Date</t>
  </si>
  <si>
    <t>Delete and insert record based on date range detected in COM_T based on COM_T.Record_Created_Date</t>
  </si>
  <si>
    <t>Day 2 10pm (T-X to T-1 days extraction)</t>
  </si>
  <si>
    <t>Source patch - delete record</t>
  </si>
  <si>
    <t xml:space="preserve">Old records falls under defined date range to be deleted. </t>
  </si>
  <si>
    <t>13.96</t>
  </si>
  <si>
    <t>Day 2 22:mm:ss</t>
  </si>
  <si>
    <t>033</t>
  </si>
  <si>
    <t>S852617A</t>
  </si>
  <si>
    <t>20090.00</t>
  </si>
  <si>
    <t>Source patch - insert record</t>
  </si>
  <si>
    <t>202511</t>
  </si>
  <si>
    <t>Old records remain as not falls under defined date range</t>
  </si>
  <si>
    <t xml:space="preserve">Latest records from RAW to be inserted. </t>
  </si>
  <si>
    <t>Day 3 8am</t>
  </si>
  <si>
    <t>MGN002617</t>
  </si>
  <si>
    <t>B019130A</t>
  </si>
  <si>
    <t>2025-11-04 00:00:00.000</t>
  </si>
  <si>
    <t>-238832.88</t>
  </si>
  <si>
    <t>2025-11-04 21:28:24.733</t>
  </si>
  <si>
    <t>Day 3 08:mm:ss</t>
  </si>
  <si>
    <t>Day 3</t>
  </si>
  <si>
    <t>S977853A</t>
  </si>
  <si>
    <t>13.50</t>
  </si>
  <si>
    <t>2025-11-05 03:18:45.790</t>
  </si>
  <si>
    <t>035</t>
  </si>
  <si>
    <t>S952159J</t>
  </si>
  <si>
    <t>2146.00</t>
  </si>
  <si>
    <t>B037855A</t>
  </si>
  <si>
    <t>7962.95</t>
  </si>
  <si>
    <t>2025-11-05 07:08:31.747</t>
  </si>
  <si>
    <t>B037856A</t>
  </si>
  <si>
    <t>68421.59</t>
  </si>
  <si>
    <t>B037857A</t>
  </si>
  <si>
    <t>900.30</t>
  </si>
  <si>
    <t>B037858A</t>
  </si>
  <si>
    <t>1347.78</t>
  </si>
  <si>
    <t>Example 1: MHBOS - t_glled_dt (extract data based on reference columns in t_glled_hd delta extraction)</t>
  </si>
  <si>
    <t>reference column</t>
  </si>
  <si>
    <t>jnl_no</t>
  </si>
  <si>
    <t>seq_no</t>
  </si>
  <si>
    <t>ref_no</t>
  </si>
  <si>
    <t>gl_accno</t>
  </si>
  <si>
    <t>journal_header_id</t>
  </si>
  <si>
    <t>JC485950</t>
  </si>
  <si>
    <t>2025-11-01 00:00:00.000</t>
  </si>
  <si>
    <t>1</t>
  </si>
  <si>
    <t>94190.62</t>
  </si>
  <si>
    <t>000-310-0103-001</t>
  </si>
  <si>
    <t>2</t>
  </si>
  <si>
    <t>-94190.62</t>
  </si>
  <si>
    <t>000-310-0101-001</t>
  </si>
  <si>
    <t>JS711666</t>
  </si>
  <si>
    <t>7500006388</t>
  </si>
  <si>
    <t>294.84</t>
  </si>
  <si>
    <t>20168-405-0000-000</t>
  </si>
  <si>
    <t>-294.84</t>
  </si>
  <si>
    <t>000-324-0034-000</t>
  </si>
  <si>
    <t>JS711667</t>
  </si>
  <si>
    <t>2.16</t>
  </si>
  <si>
    <t>20211-405-0000-000</t>
  </si>
  <si>
    <t>-2.16</t>
  </si>
  <si>
    <t>JA173382</t>
  </si>
  <si>
    <t>B870757A</t>
  </si>
  <si>
    <t>246500.00</t>
  </si>
  <si>
    <t>000-310-0205-000</t>
  </si>
  <si>
    <t>-246500.00</t>
  </si>
  <si>
    <t>000-301-0001-000</t>
  </si>
  <si>
    <t>3</t>
  </si>
  <si>
    <t>SYSTEM</t>
  </si>
  <si>
    <t>000-301-0111-000</t>
  </si>
  <si>
    <t>4</t>
  </si>
  <si>
    <t>Delete and re-insert based on reference columns</t>
  </si>
  <si>
    <t>Delete and re-insert based on reference columns - identify delta based on COM_R.Record_Created_Date</t>
  </si>
  <si>
    <t>Delete and re-insert based on reference columns - identify delta based on COM_T.Record_Created_Date</t>
  </si>
  <si>
    <t>JC485951</t>
  </si>
  <si>
    <t>2025-11-02 00:00:00.000</t>
  </si>
  <si>
    <t>208953.41</t>
  </si>
  <si>
    <t>-208953.41</t>
  </si>
  <si>
    <t>CD001655</t>
  </si>
  <si>
    <t>20671.80</t>
  </si>
  <si>
    <t>RAK200002</t>
  </si>
  <si>
    <t>-20315.40</t>
  </si>
  <si>
    <t>000-323-0021-000</t>
  </si>
  <si>
    <t>-162.00</t>
  </si>
  <si>
    <t>000-310-0205-001</t>
  </si>
  <si>
    <t>-180.00</t>
  </si>
  <si>
    <t>000-760-0700-KNT</t>
  </si>
  <si>
    <t>5</t>
  </si>
  <si>
    <t>-14.40</t>
  </si>
  <si>
    <t>000-402-00C8-SST</t>
  </si>
  <si>
    <t>6</t>
  </si>
  <si>
    <t>7</t>
  </si>
  <si>
    <t>162.00</t>
  </si>
  <si>
    <t>Delete and re-insert based on reference columns - identify delta based on COM_R.Record_Updated_Date</t>
  </si>
  <si>
    <t>Delete and re-insert based on reference columns - identify delta based on COM_T.Record_Updated_Date</t>
  </si>
  <si>
    <t>JC885958</t>
  </si>
  <si>
    <t>100</t>
  </si>
  <si>
    <t>Day 3 hh:mm:ss</t>
  </si>
  <si>
    <t>JS711666_2025-11-01</t>
  </si>
  <si>
    <t>JS711667_2025-11-01</t>
  </si>
  <si>
    <t>JA173382_2025-11-03</t>
  </si>
  <si>
    <t>JC485950_2025-11-01</t>
  </si>
  <si>
    <t>JC485951_2025-11-02</t>
  </si>
  <si>
    <t xml:space="preserve">all records under same reference columns value of the patch records, the Record_Updated_Date, ETL_DT, and ETL_Timestamp must be updated. </t>
  </si>
  <si>
    <t>CD001655_2025-11-03</t>
  </si>
  <si>
    <t>-160.00</t>
  </si>
  <si>
    <t>manual patching</t>
  </si>
  <si>
    <t>-182.00</t>
  </si>
  <si>
    <t>Snapshot_Date</t>
  </si>
  <si>
    <t>only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</si>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</sst>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trike/>
      <sz val="11"/>
      <color rgb="FFFF0000"/>
      <name val="Calibri"/>
      <family val="2"/>
      <scheme val="minor"/>
    </font>
    <font>
      <sz val="11"/>
      <color theme="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i/>
      <sz val="11"/>
      <color theme="1"/>
      <name val="Calibri"/>
      <family val="2"/>
      <scheme val="minor"/>
    </font>
    <font>
      <b/>
      <sz val="11"/>
      <name val="Calibri"/>
      <family val="2"/>
      <scheme val="minor"/>
    </font>
    <font>
      <strike/>
      <sz val="11"/>
      <color theme="1"/>
      <name val="Calibri"/>
      <family val="2"/>
      <scheme val="minor"/>
    </font>
    <font>
      <sz val="11"/>
      <color rgb="FF000000"/>
      <name val="Calibri"/>
      <scheme val="minor"/>
    </font>
    <font>
      <i/>
      <sz val="11"/>
      <color rgb="FF000000"/>
      <name val="Calibri"/>
      <scheme val="minor"/>
    </font>
    <font>
      <b/>
      <sz val="11"/>
      <color rgb="FF000000"/>
      <name val="Calibri"/>
      <scheme val="minor"/>
    </font>
    <font>
      <i/>
      <strike/>
      <sz val="11"/>
      <color theme="1"/>
      <name val="Calibri"/>
      <family val="2"/>
      <scheme val="minor"/>
    </font>
    <font>
      <strike/>
      <sz val="11"/>
      <color rgb="FF000000"/>
      <name val="Calibri"/>
      <scheme val="minor"/>
    </font>
    <font>
      <i/>
      <strike/>
      <sz val="11"/>
      <color rgb="FF000000"/>
      <name val="Calibri"/>
      <scheme val="minor"/>
    </font>
    <font>
      <b/>
      <u/>
      <sz val="11"/>
      <color rgb="FF000000"/>
      <name val="Calibri"/>
      <scheme val="minor"/>
    </font>
    <font>
      <b/>
      <i/>
      <sz val="11"/>
      <color rgb="FF000000"/>
      <name val="Calibri"/>
      <scheme val="minor"/>
    </font>
    <font>
      <b/>
      <sz val="11"/>
      <color rgb="FF000000"/>
      <name val="Calibri"/>
      <family val="2"/>
    </font>
    <font>
      <sz val="11"/>
      <color rgb="FF000000"/>
      <name val="Calibri"/>
      <family val="2"/>
    </font>
    <font>
      <i/>
      <sz val="11"/>
      <color rgb="FFFF0000"/>
      <name val="Calibri"/>
    </font>
    <font>
      <sz val="11"/>
      <color rgb="FF000000"/>
      <name val="Calibri"/>
    </font>
  </fonts>
  <fills count="13">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7030A0"/>
        <bgColor indexed="64"/>
      </patternFill>
    </fill>
    <fill>
      <patternFill patternType="solid">
        <fgColor theme="7" tint="0.39997558519241921"/>
        <bgColor indexed="64"/>
      </patternFill>
    </fill>
    <fill>
      <patternFill patternType="solid">
        <fgColor rgb="FFFCE4D6"/>
        <bgColor rgb="FF000000"/>
      </patternFill>
    </fill>
    <fill>
      <patternFill patternType="solid">
        <fgColor rgb="FFF2F2F2"/>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02">
    <xf numFmtId="0" fontId="0" fillId="0" borderId="0" xfId="0"/>
    <xf numFmtId="49" fontId="3" fillId="0" borderId="0" xfId="0" applyNumberFormat="1" applyFont="1" applyAlignment="1">
      <alignment vertical="top"/>
    </xf>
    <xf numFmtId="49" fontId="0" fillId="0" borderId="0" xfId="0" applyNumberFormat="1" applyAlignment="1">
      <alignment vertical="top"/>
    </xf>
    <xf numFmtId="49" fontId="3" fillId="2" borderId="0" xfId="0" applyNumberFormat="1" applyFont="1" applyFill="1" applyAlignment="1">
      <alignment vertical="top"/>
    </xf>
    <xf numFmtId="0" fontId="0" fillId="0" borderId="0" xfId="0" applyAlignment="1">
      <alignment vertical="top" wrapText="1"/>
    </xf>
    <xf numFmtId="49" fontId="3" fillId="0" borderId="0" xfId="0" applyNumberFormat="1" applyFont="1" applyAlignment="1">
      <alignment horizontal="right" vertical="top"/>
    </xf>
    <xf numFmtId="49" fontId="0" fillId="3" borderId="0" xfId="0" applyNumberFormat="1" applyFill="1" applyAlignment="1">
      <alignment vertical="top"/>
    </xf>
    <xf numFmtId="49" fontId="2" fillId="0" borderId="0" xfId="0" applyNumberFormat="1" applyFont="1" applyAlignment="1">
      <alignment vertical="top"/>
    </xf>
    <xf numFmtId="49" fontId="4" fillId="0" borderId="0" xfId="0" applyNumberFormat="1" applyFont="1" applyAlignment="1">
      <alignment vertical="top"/>
    </xf>
    <xf numFmtId="49" fontId="1" fillId="3" borderId="0" xfId="0" applyNumberFormat="1" applyFont="1" applyFill="1" applyAlignment="1">
      <alignment vertical="top"/>
    </xf>
    <xf numFmtId="0" fontId="0" fillId="0" borderId="0" xfId="0" applyAlignment="1">
      <alignment vertical="top"/>
    </xf>
    <xf numFmtId="0" fontId="3" fillId="2" borderId="0" xfId="0" applyFont="1" applyFill="1" applyAlignment="1">
      <alignment vertical="top"/>
    </xf>
    <xf numFmtId="0" fontId="3" fillId="0" borderId="0" xfId="0" applyFont="1" applyAlignment="1">
      <alignment vertical="top"/>
    </xf>
    <xf numFmtId="0" fontId="0" fillId="3" borderId="0" xfId="0" applyFill="1" applyAlignment="1">
      <alignment vertical="top"/>
    </xf>
    <xf numFmtId="0" fontId="2" fillId="0" borderId="0" xfId="0" applyFont="1" applyAlignment="1">
      <alignment vertical="top"/>
    </xf>
    <xf numFmtId="0" fontId="3" fillId="0" borderId="0" xfId="0" applyFont="1" applyAlignment="1">
      <alignment vertical="top" wrapText="1"/>
    </xf>
    <xf numFmtId="49" fontId="5" fillId="3" borderId="0" xfId="0" applyNumberFormat="1" applyFont="1" applyFill="1" applyAlignment="1">
      <alignment vertical="top"/>
    </xf>
    <xf numFmtId="49" fontId="0" fillId="5" borderId="0" xfId="0" applyNumberFormat="1" applyFill="1" applyAlignment="1">
      <alignment vertical="top"/>
    </xf>
    <xf numFmtId="0" fontId="0" fillId="5" borderId="0" xfId="0" applyFill="1" applyAlignment="1">
      <alignment vertical="top"/>
    </xf>
    <xf numFmtId="49" fontId="6" fillId="0" borderId="0" xfId="0" applyNumberFormat="1" applyFont="1" applyAlignment="1">
      <alignment vertical="top"/>
    </xf>
    <xf numFmtId="49" fontId="7" fillId="0" borderId="0" xfId="0" applyNumberFormat="1" applyFont="1" applyAlignment="1">
      <alignment horizontal="right" vertical="top"/>
    </xf>
    <xf numFmtId="0" fontId="6" fillId="0" borderId="0" xfId="0" applyFont="1" applyAlignment="1">
      <alignment vertical="top"/>
    </xf>
    <xf numFmtId="49" fontId="3" fillId="5" borderId="0" xfId="0" applyNumberFormat="1" applyFont="1" applyFill="1" applyAlignment="1">
      <alignment vertical="top"/>
    </xf>
    <xf numFmtId="49" fontId="0" fillId="0" borderId="0" xfId="0" applyNumberFormat="1" applyAlignment="1">
      <alignment vertical="top" wrapText="1"/>
    </xf>
    <xf numFmtId="49" fontId="0" fillId="0" borderId="0" xfId="0" applyNumberFormat="1" applyAlignment="1">
      <alignment horizontal="left" vertical="top" wrapText="1"/>
    </xf>
    <xf numFmtId="49" fontId="2" fillId="0" borderId="0" xfId="0" applyNumberFormat="1" applyFont="1" applyAlignment="1">
      <alignment vertical="top" wrapText="1"/>
    </xf>
    <xf numFmtId="49" fontId="3" fillId="0" borderId="0" xfId="0" applyNumberFormat="1" applyFont="1" applyAlignment="1">
      <alignment vertical="top" wrapText="1"/>
    </xf>
    <xf numFmtId="49" fontId="8" fillId="0" borderId="0" xfId="0" applyNumberFormat="1" applyFont="1" applyAlignment="1">
      <alignment vertical="top"/>
    </xf>
    <xf numFmtId="0" fontId="1" fillId="3" borderId="0" xfId="0" applyFont="1" applyFill="1" applyAlignment="1">
      <alignment vertical="top"/>
    </xf>
    <xf numFmtId="0" fontId="3" fillId="4" borderId="1" xfId="0" applyFont="1" applyFill="1" applyBorder="1" applyAlignment="1">
      <alignment vertical="top" wrapText="1"/>
    </xf>
    <xf numFmtId="0" fontId="0" fillId="0" borderId="1" xfId="0" applyBorder="1" applyAlignment="1">
      <alignment vertical="top" wrapText="1"/>
    </xf>
    <xf numFmtId="49" fontId="0" fillId="0" borderId="1" xfId="0" applyNumberFormat="1" applyBorder="1" applyAlignment="1">
      <alignment vertical="top"/>
    </xf>
    <xf numFmtId="0" fontId="0" fillId="0" borderId="2" xfId="0" applyBorder="1" applyAlignment="1">
      <alignment vertical="top" wrapText="1"/>
    </xf>
    <xf numFmtId="49" fontId="7" fillId="0" borderId="0" xfId="0" applyNumberFormat="1" applyFont="1" applyAlignment="1">
      <alignment horizontal="right" vertical="top" wrapText="1"/>
    </xf>
    <xf numFmtId="0" fontId="4" fillId="0" borderId="0" xfId="0" applyFont="1" applyAlignment="1">
      <alignment vertical="top"/>
    </xf>
    <xf numFmtId="49" fontId="3" fillId="0" borderId="0" xfId="0" applyNumberFormat="1" applyFont="1" applyAlignment="1">
      <alignment horizontal="right" vertical="top" wrapText="1"/>
    </xf>
    <xf numFmtId="0" fontId="3" fillId="2" borderId="0" xfId="0" applyFont="1" applyFill="1" applyAlignment="1">
      <alignment vertical="top" wrapText="1"/>
    </xf>
    <xf numFmtId="0" fontId="1" fillId="3" borderId="0" xfId="0" applyFont="1" applyFill="1" applyAlignment="1">
      <alignment vertical="top" wrapText="1"/>
    </xf>
    <xf numFmtId="0" fontId="8" fillId="0" borderId="0" xfId="0" applyFont="1" applyAlignment="1">
      <alignment vertical="top"/>
    </xf>
    <xf numFmtId="49" fontId="3" fillId="7" borderId="0" xfId="0" applyNumberFormat="1" applyFont="1" applyFill="1" applyAlignment="1">
      <alignment vertical="top"/>
    </xf>
    <xf numFmtId="49" fontId="0" fillId="7" borderId="0" xfId="0" applyNumberFormat="1" applyFill="1" applyAlignment="1">
      <alignment vertical="top"/>
    </xf>
    <xf numFmtId="0" fontId="0" fillId="3" borderId="0" xfId="0" applyFill="1" applyAlignment="1">
      <alignment vertical="top" wrapText="1"/>
    </xf>
    <xf numFmtId="0" fontId="2" fillId="0" borderId="0" xfId="0" applyFont="1" applyAlignment="1">
      <alignment vertical="top" wrapText="1"/>
    </xf>
    <xf numFmtId="0" fontId="3" fillId="6" borderId="0" xfId="0" applyFont="1" applyFill="1" applyAlignment="1">
      <alignment vertical="top" wrapText="1"/>
    </xf>
    <xf numFmtId="49" fontId="10" fillId="8" borderId="0" xfId="0" applyNumberFormat="1" applyFont="1" applyFill="1" applyAlignment="1">
      <alignment vertical="top"/>
    </xf>
    <xf numFmtId="49" fontId="1" fillId="9" borderId="0" xfId="0" applyNumberFormat="1" applyFont="1" applyFill="1" applyAlignment="1">
      <alignment vertical="top"/>
    </xf>
    <xf numFmtId="49" fontId="8" fillId="0" borderId="0" xfId="0" applyNumberFormat="1" applyFont="1" applyAlignment="1">
      <alignment vertical="top" wrapText="1"/>
    </xf>
    <xf numFmtId="49" fontId="4" fillId="0" borderId="0" xfId="0" applyNumberFormat="1" applyFont="1" applyAlignment="1">
      <alignment vertical="top" wrapText="1"/>
    </xf>
    <xf numFmtId="49" fontId="3" fillId="10" borderId="0" xfId="0" applyNumberFormat="1" applyFont="1" applyFill="1" applyAlignment="1">
      <alignment vertical="top"/>
    </xf>
    <xf numFmtId="0" fontId="0" fillId="0" borderId="6" xfId="0" applyBorder="1" applyAlignment="1">
      <alignment vertical="top" wrapText="1"/>
    </xf>
    <xf numFmtId="0" fontId="0" fillId="0" borderId="3" xfId="0" applyBorder="1" applyAlignment="1">
      <alignment horizontal="left" vertical="top" wrapText="1"/>
    </xf>
    <xf numFmtId="0" fontId="0" fillId="0" borderId="7" xfId="0" applyBorder="1" applyAlignment="1">
      <alignment vertical="top" wrapText="1"/>
    </xf>
    <xf numFmtId="0" fontId="11" fillId="0" borderId="1" xfId="0" applyFont="1" applyBorder="1" applyAlignment="1">
      <alignment vertical="top" wrapText="1"/>
    </xf>
    <xf numFmtId="49" fontId="11" fillId="0" borderId="1" xfId="0" applyNumberFormat="1" applyFont="1" applyBorder="1" applyAlignment="1">
      <alignment vertical="top"/>
    </xf>
    <xf numFmtId="0" fontId="11" fillId="0" borderId="0" xfId="0" applyFont="1" applyAlignment="1">
      <alignment vertical="top" wrapText="1"/>
    </xf>
    <xf numFmtId="0" fontId="12" fillId="0" borderId="1" xfId="0" applyFont="1" applyBorder="1" applyAlignment="1">
      <alignment vertical="top" wrapText="1"/>
    </xf>
    <xf numFmtId="0" fontId="3" fillId="7" borderId="1" xfId="0" applyFont="1" applyFill="1" applyBorder="1" applyAlignment="1">
      <alignment vertical="top" wrapText="1"/>
    </xf>
    <xf numFmtId="0" fontId="11" fillId="7" borderId="1" xfId="0" applyFont="1" applyFill="1" applyBorder="1" applyAlignment="1">
      <alignment vertical="top" wrapText="1"/>
    </xf>
    <xf numFmtId="0" fontId="0" fillId="7" borderId="1" xfId="0" applyFill="1" applyBorder="1" applyAlignment="1">
      <alignment vertical="top" wrapText="1"/>
    </xf>
    <xf numFmtId="0" fontId="0" fillId="7" borderId="0" xfId="0" applyFill="1" applyAlignment="1">
      <alignment vertical="top" wrapText="1"/>
    </xf>
    <xf numFmtId="0" fontId="0" fillId="0" borderId="9" xfId="0" applyBorder="1" applyAlignment="1">
      <alignment vertical="top" wrapText="1"/>
    </xf>
    <xf numFmtId="0" fontId="16" fillId="0" borderId="1" xfId="0" applyFont="1" applyBorder="1" applyAlignment="1">
      <alignment vertical="top" wrapText="1"/>
    </xf>
    <xf numFmtId="0" fontId="11" fillId="0" borderId="3" xfId="0" applyFont="1" applyBorder="1" applyAlignment="1">
      <alignment horizontal="left" vertical="top" wrapText="1"/>
    </xf>
    <xf numFmtId="0" fontId="11" fillId="0" borderId="6" xfId="0" applyFont="1" applyBorder="1" applyAlignment="1">
      <alignment vertical="top" wrapText="1"/>
    </xf>
    <xf numFmtId="0" fontId="11" fillId="0" borderId="8" xfId="0" applyFont="1" applyBorder="1" applyAlignment="1">
      <alignment vertical="top" wrapText="1"/>
    </xf>
    <xf numFmtId="0" fontId="12" fillId="0" borderId="0" xfId="0" applyFont="1" applyAlignment="1">
      <alignment vertical="top" wrapText="1"/>
    </xf>
    <xf numFmtId="0" fontId="20" fillId="12" borderId="1" xfId="0" applyFont="1" applyFill="1" applyBorder="1" applyAlignment="1">
      <alignment vertical="top" wrapText="1"/>
    </xf>
    <xf numFmtId="0" fontId="20" fillId="12" borderId="4" xfId="0" applyFont="1" applyFill="1" applyBorder="1" applyAlignment="1">
      <alignment vertical="top" wrapText="1"/>
    </xf>
    <xf numFmtId="0" fontId="20" fillId="12" borderId="15" xfId="0" applyFont="1" applyFill="1" applyBorder="1" applyAlignment="1">
      <alignment vertical="top" wrapText="1"/>
    </xf>
    <xf numFmtId="0" fontId="20" fillId="11" borderId="10" xfId="0" applyFont="1" applyFill="1" applyBorder="1" applyAlignment="1">
      <alignment vertical="top" wrapText="1"/>
    </xf>
    <xf numFmtId="0" fontId="20" fillId="11" borderId="11" xfId="0" applyFont="1" applyFill="1" applyBorder="1" applyAlignment="1">
      <alignment vertical="top" wrapText="1"/>
    </xf>
    <xf numFmtId="0" fontId="21" fillId="0" borderId="16" xfId="0" applyFont="1" applyBorder="1" applyAlignment="1">
      <alignment vertical="top" wrapText="1"/>
    </xf>
    <xf numFmtId="0" fontId="21" fillId="0" borderId="17" xfId="0" quotePrefix="1" applyFont="1" applyBorder="1" applyAlignment="1">
      <alignment vertical="top" wrapText="1"/>
    </xf>
    <xf numFmtId="0" fontId="21" fillId="0" borderId="0" xfId="0" applyFont="1" applyAlignment="1">
      <alignment vertical="top" wrapText="1"/>
    </xf>
    <xf numFmtId="0" fontId="21" fillId="0" borderId="10" xfId="0" applyFont="1" applyBorder="1" applyAlignment="1">
      <alignment vertical="top" wrapText="1"/>
    </xf>
    <xf numFmtId="0" fontId="21" fillId="0" borderId="11" xfId="0" applyFont="1" applyBorder="1" applyAlignment="1">
      <alignment vertical="top" wrapText="1"/>
    </xf>
    <xf numFmtId="0" fontId="21" fillId="0" borderId="2" xfId="0" applyFont="1" applyBorder="1" applyAlignment="1">
      <alignment vertical="top" wrapText="1"/>
    </xf>
    <xf numFmtId="0" fontId="21" fillId="0" borderId="17" xfId="0" applyFont="1" applyBorder="1" applyAlignment="1">
      <alignment vertical="top" wrapText="1"/>
    </xf>
    <xf numFmtId="0" fontId="21" fillId="0" borderId="18" xfId="0" applyFont="1" applyBorder="1" applyAlignment="1">
      <alignment vertical="top" wrapText="1"/>
    </xf>
    <xf numFmtId="0" fontId="21" fillId="0" borderId="6" xfId="0" applyFont="1" applyBorder="1" applyAlignment="1">
      <alignment vertical="top" wrapText="1"/>
    </xf>
    <xf numFmtId="0" fontId="21" fillId="0" borderId="12" xfId="0" applyFont="1" applyBorder="1" applyAlignment="1">
      <alignment vertical="top" wrapText="1"/>
    </xf>
    <xf numFmtId="0" fontId="21" fillId="0" borderId="13" xfId="0" applyFont="1" applyBorder="1" applyAlignment="1">
      <alignment vertical="top" wrapText="1"/>
    </xf>
    <xf numFmtId="0" fontId="23" fillId="0" borderId="14" xfId="0" applyFont="1" applyBorder="1" applyAlignment="1">
      <alignment vertical="top" wrapText="1"/>
    </xf>
    <xf numFmtId="0" fontId="21" fillId="0" borderId="1" xfId="0" applyFont="1" applyBorder="1" applyAlignment="1">
      <alignment vertical="top" wrapText="1"/>
    </xf>
    <xf numFmtId="0" fontId="21" fillId="0" borderId="15" xfId="0" applyFont="1" applyBorder="1" applyAlignment="1">
      <alignment vertical="top" wrapText="1"/>
    </xf>
    <xf numFmtId="0" fontId="21" fillId="0" borderId="14" xfId="0" applyFont="1" applyBorder="1" applyAlignment="1">
      <alignment vertical="top" wrapText="1"/>
    </xf>
    <xf numFmtId="0" fontId="21" fillId="0" borderId="19" xfId="0" applyFont="1" applyBorder="1" applyAlignment="1">
      <alignment vertical="top" wrapText="1"/>
    </xf>
    <xf numFmtId="0" fontId="21" fillId="0" borderId="5" xfId="0" applyFont="1" applyBorder="1" applyAlignment="1">
      <alignment vertical="top" wrapText="1"/>
    </xf>
    <xf numFmtId="49" fontId="3" fillId="4" borderId="1" xfId="0" applyNumberFormat="1" applyFont="1" applyFill="1" applyBorder="1" applyAlignment="1">
      <alignment vertical="top" wrapText="1"/>
    </xf>
    <xf numFmtId="0" fontId="3" fillId="7" borderId="1" xfId="0" applyFont="1" applyFill="1" applyBorder="1" applyAlignment="1">
      <alignment horizontal="center" vertical="top" wrapText="1"/>
    </xf>
    <xf numFmtId="0" fontId="3" fillId="4" borderId="1" xfId="0" applyFont="1" applyFill="1" applyBorder="1" applyAlignment="1">
      <alignment horizontal="center" vertical="top" wrapText="1"/>
    </xf>
    <xf numFmtId="49" fontId="3" fillId="4" borderId="3" xfId="0" applyNumberFormat="1" applyFont="1" applyFill="1" applyBorder="1" applyAlignment="1">
      <alignment horizontal="center" vertical="top" wrapText="1"/>
    </xf>
    <xf numFmtId="49" fontId="3" fillId="4" borderId="4" xfId="0" applyNumberFormat="1" applyFont="1" applyFill="1" applyBorder="1" applyAlignment="1">
      <alignment horizontal="center" vertical="top" wrapText="1"/>
    </xf>
    <xf numFmtId="49" fontId="14" fillId="4" borderId="2" xfId="0" applyNumberFormat="1" applyFont="1" applyFill="1" applyBorder="1" applyAlignment="1">
      <alignment horizontal="center" vertical="top" wrapText="1"/>
    </xf>
    <xf numFmtId="49" fontId="3" fillId="4" borderId="5" xfId="0" applyNumberFormat="1" applyFont="1" applyFill="1" applyBorder="1" applyAlignment="1">
      <alignment horizontal="center" vertical="top" wrapText="1"/>
    </xf>
    <xf numFmtId="0" fontId="3" fillId="4" borderId="3" xfId="0" applyFont="1" applyFill="1" applyBorder="1" applyAlignment="1">
      <alignment horizontal="center" vertical="top" wrapText="1"/>
    </xf>
    <xf numFmtId="0" fontId="3" fillId="4" borderId="4" xfId="0" applyFont="1" applyFill="1" applyBorder="1" applyAlignment="1">
      <alignment horizontal="center" vertical="top" wrapText="1"/>
    </xf>
    <xf numFmtId="49" fontId="3" fillId="0" borderId="0" xfId="0" applyNumberFormat="1" applyFont="1" applyAlignment="1">
      <alignment horizontal="center" vertical="top" wrapText="1"/>
    </xf>
    <xf numFmtId="49" fontId="3" fillId="0" borderId="0" xfId="0" applyNumberFormat="1" applyFont="1" applyAlignment="1">
      <alignment horizontal="center" vertical="top"/>
    </xf>
    <xf numFmtId="49" fontId="6" fillId="0" borderId="0" xfId="0" applyNumberFormat="1" applyFont="1" applyAlignment="1">
      <alignment horizontal="left" vertical="top" wrapText="1"/>
    </xf>
    <xf numFmtId="49" fontId="0" fillId="0" borderId="0" xfId="0" applyNumberFormat="1" applyAlignment="1">
      <alignment horizontal="left" vertical="top" wrapText="1"/>
    </xf>
    <xf numFmtId="49" fontId="1" fillId="3" borderId="0" xfId="0" applyNumberFormat="1" applyFont="1" applyFill="1" applyAlignment="1">
      <alignment horizontal="left" vertical="top"/>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haron Tan Meng Hui" id="{994EBA08-7FF8-402A-8002-344D106342BB}" userId="S::sharontan@kenanga.com.my::81160ca7-d0eb-48d1-9c85-8a630ba924b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5" dT="2025-12-22T07:20:22.18" personId="{994EBA08-7FF8-402A-8002-344D106342BB}" id="{98EF3DB6-F390-4FD6-A886-8A610067DCD0}">
    <text xml:space="preserve">For automated flow, Record_Updated_Date will be same as Record_Created_Date, except when there is manual patching to remove record (Record_Status = X), then to update Record_Updated_Date. </text>
  </threadedComment>
</ThreadedComment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15F4D-E50E-43B5-8650-D4993AB51777}">
  <dimension ref="A1:C13"/>
  <sheetViews>
    <sheetView workbookViewId="0">
      <pane ySplit="1" topLeftCell="A2" activePane="bottomLeft" state="frozen"/>
      <selection pane="bottomLeft" activeCell="F12" sqref="F12"/>
    </sheetView>
  </sheetViews>
  <sheetFormatPr defaultColWidth="9.140625" defaultRowHeight="15" customHeight="1" x14ac:dyDescent="0.25"/>
  <cols>
    <col min="1" max="1" width="16.42578125" style="4" customWidth="1"/>
    <col min="2" max="2" width="58.42578125" style="4" customWidth="1"/>
    <col min="3" max="3" width="69" style="4" customWidth="1"/>
    <col min="4" max="16384" width="9.140625" style="4"/>
  </cols>
  <sheetData>
    <row r="1" spans="1:3" s="15" customFormat="1" x14ac:dyDescent="0.25">
      <c r="A1" s="15" t="s">
        <v>0</v>
      </c>
      <c r="B1" s="15" t="s">
        <v>1</v>
      </c>
      <c r="C1" s="15" t="s">
        <v>2</v>
      </c>
    </row>
    <row r="2" spans="1:3" ht="30" x14ac:dyDescent="0.25">
      <c r="B2" s="4" t="s">
        <v>3</v>
      </c>
    </row>
    <row r="3" spans="1:3" ht="222.75" customHeight="1" x14ac:dyDescent="0.25">
      <c r="B3" s="4" t="s">
        <v>4</v>
      </c>
      <c r="C3" s="65" t="s">
        <v>5</v>
      </c>
    </row>
    <row r="4" spans="1:3" ht="45" x14ac:dyDescent="0.25">
      <c r="B4" s="4" t="s">
        <v>6</v>
      </c>
      <c r="C4" s="4" t="s">
        <v>7</v>
      </c>
    </row>
    <row r="5" spans="1:3" ht="45" x14ac:dyDescent="0.25">
      <c r="B5" s="4" t="s">
        <v>8</v>
      </c>
      <c r="C5" s="4" t="s">
        <v>9</v>
      </c>
    </row>
    <row r="6" spans="1:3" ht="75" x14ac:dyDescent="0.25">
      <c r="B6" s="4" t="s">
        <v>10</v>
      </c>
    </row>
    <row r="7" spans="1:3" ht="30" x14ac:dyDescent="0.25">
      <c r="B7" s="4" t="s">
        <v>11</v>
      </c>
      <c r="C7" s="4" t="s">
        <v>12</v>
      </c>
    </row>
    <row r="8" spans="1:3" ht="30" x14ac:dyDescent="0.25">
      <c r="B8" s="4" t="s">
        <v>13</v>
      </c>
    </row>
    <row r="9" spans="1:3" ht="15" customHeight="1" x14ac:dyDescent="0.25">
      <c r="B9" s="4" t="s">
        <v>14</v>
      </c>
    </row>
    <row r="10" spans="1:3" ht="75" x14ac:dyDescent="0.25">
      <c r="B10" s="4" t="s">
        <v>15</v>
      </c>
    </row>
    <row r="11" spans="1:3" ht="45" x14ac:dyDescent="0.25">
      <c r="B11" s="4" t="s">
        <v>16</v>
      </c>
    </row>
    <row r="12" spans="1:3" ht="45" x14ac:dyDescent="0.25">
      <c r="B12" s="4" t="s">
        <v>17</v>
      </c>
      <c r="C12" s="4" t="s">
        <v>18</v>
      </c>
    </row>
    <row r="13" spans="1:3" ht="45" x14ac:dyDescent="0.25">
      <c r="B13" s="4"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A8D6-4CD0-4045-8DEA-DADE9C7C400B}">
  <dimension ref="A1:E8"/>
  <sheetViews>
    <sheetView topLeftCell="A4" workbookViewId="0">
      <selection activeCell="G3" sqref="G3"/>
    </sheetView>
  </sheetViews>
  <sheetFormatPr defaultRowHeight="15" x14ac:dyDescent="0.25"/>
  <cols>
    <col min="1" max="1" width="18" style="10" bestFit="1" customWidth="1"/>
    <col min="2" max="2" width="28.42578125" style="10" bestFit="1" customWidth="1"/>
    <col min="3" max="3" width="44.5703125" style="10" bestFit="1" customWidth="1"/>
    <col min="4" max="5" width="37.5703125" style="10" customWidth="1"/>
    <col min="6" max="16384" width="9.140625" style="10"/>
  </cols>
  <sheetData>
    <row r="1" spans="1:5" x14ac:dyDescent="0.25">
      <c r="A1" s="66" t="s">
        <v>20</v>
      </c>
      <c r="B1" s="67" t="s">
        <v>21</v>
      </c>
      <c r="C1" s="68" t="s">
        <v>22</v>
      </c>
      <c r="D1" s="69" t="s">
        <v>23</v>
      </c>
      <c r="E1" s="70" t="s">
        <v>24</v>
      </c>
    </row>
    <row r="2" spans="1:5" ht="30" x14ac:dyDescent="0.25">
      <c r="A2" s="71" t="s">
        <v>25</v>
      </c>
      <c r="B2" s="72" t="s">
        <v>26</v>
      </c>
      <c r="C2" s="73" t="s">
        <v>27</v>
      </c>
      <c r="D2" s="74" t="s">
        <v>28</v>
      </c>
      <c r="E2" s="75" t="s">
        <v>29</v>
      </c>
    </row>
    <row r="3" spans="1:5" ht="150" x14ac:dyDescent="0.25">
      <c r="A3" s="76" t="s">
        <v>30</v>
      </c>
      <c r="B3" s="77" t="s">
        <v>31</v>
      </c>
      <c r="C3" s="78" t="s">
        <v>32</v>
      </c>
      <c r="D3" s="79" t="s">
        <v>33</v>
      </c>
      <c r="E3" s="80" t="s">
        <v>34</v>
      </c>
    </row>
    <row r="4" spans="1:5" ht="210" x14ac:dyDescent="0.25">
      <c r="A4" s="76" t="s">
        <v>35</v>
      </c>
      <c r="B4" s="77" t="s">
        <v>36</v>
      </c>
      <c r="C4" s="78" t="s">
        <v>37</v>
      </c>
      <c r="D4" s="81" t="s">
        <v>38</v>
      </c>
      <c r="E4" s="82" t="s">
        <v>39</v>
      </c>
    </row>
    <row r="5" spans="1:5" ht="30" x14ac:dyDescent="0.25">
      <c r="A5" s="83" t="s">
        <v>40</v>
      </c>
      <c r="B5" s="77" t="s">
        <v>41</v>
      </c>
      <c r="C5" s="84" t="s">
        <v>32</v>
      </c>
      <c r="D5" s="81" t="s">
        <v>38</v>
      </c>
      <c r="E5" s="85" t="s">
        <v>42</v>
      </c>
    </row>
    <row r="6" spans="1:5" ht="120" x14ac:dyDescent="0.25">
      <c r="A6" s="71" t="s">
        <v>43</v>
      </c>
      <c r="B6" s="77" t="s">
        <v>44</v>
      </c>
      <c r="C6" s="86" t="s">
        <v>45</v>
      </c>
      <c r="D6" s="81" t="s">
        <v>46</v>
      </c>
      <c r="E6" s="82" t="s">
        <v>47</v>
      </c>
    </row>
    <row r="7" spans="1:5" ht="105" x14ac:dyDescent="0.25">
      <c r="A7" s="83" t="s">
        <v>48</v>
      </c>
      <c r="B7" s="77" t="s">
        <v>41</v>
      </c>
      <c r="C7" s="86" t="s">
        <v>32</v>
      </c>
      <c r="D7" s="81" t="s">
        <v>46</v>
      </c>
      <c r="E7" s="82" t="s">
        <v>49</v>
      </c>
    </row>
    <row r="8" spans="1:5" x14ac:dyDescent="0.25">
      <c r="A8" s="87" t="s">
        <v>50</v>
      </c>
      <c r="B8" s="77" t="s">
        <v>51</v>
      </c>
      <c r="C8" s="86" t="s">
        <v>52</v>
      </c>
      <c r="D8" s="81" t="s">
        <v>27</v>
      </c>
      <c r="E8" s="85"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B771B-374C-4895-A70E-F5342261E267}">
  <dimension ref="A1:P12"/>
  <sheetViews>
    <sheetView zoomScale="85" zoomScaleNormal="85" workbookViewId="0">
      <pane xSplit="1" ySplit="2" topLeftCell="J9" activePane="bottomRight" state="frozen"/>
      <selection pane="topRight"/>
      <selection pane="bottomLeft"/>
      <selection pane="bottomRight" activeCell="M10" sqref="M10"/>
    </sheetView>
  </sheetViews>
  <sheetFormatPr defaultColWidth="8.85546875" defaultRowHeight="15" customHeight="1" x14ac:dyDescent="0.25"/>
  <cols>
    <col min="1" max="1" width="24.28515625" style="4" customWidth="1"/>
    <col min="2" max="2" width="19.85546875" style="4" customWidth="1"/>
    <col min="3" max="3" width="23.28515625" style="4" customWidth="1"/>
    <col min="4" max="4" width="24.85546875" style="4" customWidth="1"/>
    <col min="5" max="5" width="13.28515625" style="4" customWidth="1"/>
    <col min="6" max="6" width="17.7109375" style="4" customWidth="1"/>
    <col min="7" max="7" width="18.85546875" style="59" hidden="1" customWidth="1"/>
    <col min="8" max="8" width="30.28515625" style="59" hidden="1" customWidth="1"/>
    <col min="9" max="9" width="16.7109375" style="4" customWidth="1"/>
    <col min="10" max="10" width="30.28515625" style="4" customWidth="1"/>
    <col min="11" max="11" width="18.140625" style="4" customWidth="1"/>
    <col min="12" max="12" width="30.28515625" style="4" customWidth="1"/>
    <col min="13" max="13" width="48.140625" style="4" customWidth="1"/>
    <col min="14" max="14" width="25.85546875" style="4" customWidth="1"/>
    <col min="15" max="15" width="29.5703125" style="4" customWidth="1"/>
    <col min="16" max="16" width="35.42578125" style="4" customWidth="1"/>
    <col min="17" max="16384" width="8.85546875" style="4"/>
  </cols>
  <sheetData>
    <row r="1" spans="1:16" s="15" customFormat="1" x14ac:dyDescent="0.25">
      <c r="A1" s="88" t="s">
        <v>53</v>
      </c>
      <c r="B1" s="88" t="s">
        <v>54</v>
      </c>
      <c r="C1" s="88" t="s">
        <v>55</v>
      </c>
      <c r="D1" s="88" t="s">
        <v>56</v>
      </c>
      <c r="E1" s="91" t="s">
        <v>57</v>
      </c>
      <c r="F1" s="92"/>
      <c r="G1" s="89" t="s">
        <v>58</v>
      </c>
      <c r="H1" s="89"/>
      <c r="I1" s="90" t="s">
        <v>35</v>
      </c>
      <c r="J1" s="90"/>
      <c r="K1" s="95" t="s">
        <v>59</v>
      </c>
      <c r="L1" s="96"/>
      <c r="M1" s="88" t="s">
        <v>43</v>
      </c>
      <c r="N1" s="88" t="s">
        <v>60</v>
      </c>
      <c r="O1" s="93" t="s">
        <v>61</v>
      </c>
      <c r="P1" s="88" t="s">
        <v>2</v>
      </c>
    </row>
    <row r="2" spans="1:16" s="15" customFormat="1" ht="32.450000000000003" customHeight="1" x14ac:dyDescent="0.25">
      <c r="A2" s="88"/>
      <c r="B2" s="88"/>
      <c r="C2" s="88"/>
      <c r="D2" s="88"/>
      <c r="E2" s="29" t="s">
        <v>62</v>
      </c>
      <c r="F2" s="29" t="s">
        <v>63</v>
      </c>
      <c r="G2" s="56" t="s">
        <v>62</v>
      </c>
      <c r="H2" s="56" t="s">
        <v>63</v>
      </c>
      <c r="I2" s="29" t="s">
        <v>62</v>
      </c>
      <c r="J2" s="29" t="s">
        <v>63</v>
      </c>
      <c r="K2" s="29" t="s">
        <v>62</v>
      </c>
      <c r="L2" s="29" t="s">
        <v>63</v>
      </c>
      <c r="M2" s="88"/>
      <c r="N2" s="88"/>
      <c r="O2" s="94"/>
      <c r="P2" s="88"/>
    </row>
    <row r="3" spans="1:16" s="54" customFormat="1" ht="105" hidden="1" x14ac:dyDescent="0.25">
      <c r="A3" s="52" t="s">
        <v>64</v>
      </c>
      <c r="B3" s="52" t="s">
        <v>65</v>
      </c>
      <c r="C3" s="53" t="s">
        <v>66</v>
      </c>
      <c r="D3" s="52" t="s">
        <v>67</v>
      </c>
      <c r="E3" s="52" t="s">
        <v>68</v>
      </c>
      <c r="F3" s="52" t="s">
        <v>69</v>
      </c>
      <c r="G3" s="57" t="s">
        <v>26</v>
      </c>
      <c r="H3" s="57" t="s">
        <v>70</v>
      </c>
      <c r="I3" s="52" t="s">
        <v>26</v>
      </c>
      <c r="J3" s="52" t="s">
        <v>71</v>
      </c>
      <c r="K3" s="52" t="s">
        <v>26</v>
      </c>
      <c r="L3" s="52" t="s">
        <v>72</v>
      </c>
      <c r="M3" s="52" t="s">
        <v>73</v>
      </c>
      <c r="N3" s="52" t="s">
        <v>74</v>
      </c>
      <c r="O3" s="52" t="s">
        <v>26</v>
      </c>
      <c r="P3" s="52"/>
    </row>
    <row r="4" spans="1:16" ht="105" x14ac:dyDescent="0.25">
      <c r="A4" s="30" t="s">
        <v>75</v>
      </c>
      <c r="B4" s="30" t="s">
        <v>65</v>
      </c>
      <c r="C4" s="31" t="s">
        <v>66</v>
      </c>
      <c r="D4" s="30" t="s">
        <v>67</v>
      </c>
      <c r="E4" s="30" t="s">
        <v>68</v>
      </c>
      <c r="F4" s="30" t="s">
        <v>76</v>
      </c>
      <c r="G4" s="58" t="s">
        <v>26</v>
      </c>
      <c r="H4" s="58" t="s">
        <v>77</v>
      </c>
      <c r="I4" s="30" t="s">
        <v>78</v>
      </c>
      <c r="J4" s="30" t="s">
        <v>79</v>
      </c>
      <c r="K4" s="30" t="s">
        <v>78</v>
      </c>
      <c r="L4" s="30" t="s">
        <v>72</v>
      </c>
      <c r="M4" s="30" t="s">
        <v>80</v>
      </c>
      <c r="N4" s="30" t="s">
        <v>26</v>
      </c>
      <c r="O4" s="30" t="s">
        <v>26</v>
      </c>
      <c r="P4" s="30"/>
    </row>
    <row r="5" spans="1:16" ht="90" x14ac:dyDescent="0.25">
      <c r="A5" s="30" t="s">
        <v>81</v>
      </c>
      <c r="B5" s="30" t="s">
        <v>65</v>
      </c>
      <c r="C5" s="30" t="s">
        <v>82</v>
      </c>
      <c r="D5" s="30" t="s">
        <v>26</v>
      </c>
      <c r="E5" s="30" t="s">
        <v>68</v>
      </c>
      <c r="F5" s="30" t="s">
        <v>83</v>
      </c>
      <c r="G5" s="58" t="s">
        <v>84</v>
      </c>
      <c r="H5" s="58" t="s">
        <v>85</v>
      </c>
      <c r="I5" s="30" t="s">
        <v>78</v>
      </c>
      <c r="J5" s="30" t="s">
        <v>85</v>
      </c>
      <c r="K5" s="30"/>
      <c r="L5" s="30" t="s">
        <v>78</v>
      </c>
      <c r="M5" s="30" t="s">
        <v>85</v>
      </c>
      <c r="N5" s="30" t="s">
        <v>26</v>
      </c>
      <c r="O5" s="30" t="s">
        <v>26</v>
      </c>
      <c r="P5" s="30" t="s">
        <v>86</v>
      </c>
    </row>
    <row r="6" spans="1:16" ht="90" x14ac:dyDescent="0.25">
      <c r="A6" s="30" t="s">
        <v>87</v>
      </c>
      <c r="B6" s="30" t="s">
        <v>65</v>
      </c>
      <c r="C6" s="30" t="s">
        <v>26</v>
      </c>
      <c r="D6" s="30" t="s">
        <v>26</v>
      </c>
      <c r="E6" s="30" t="s">
        <v>68</v>
      </c>
      <c r="F6" s="30" t="s">
        <v>83</v>
      </c>
      <c r="G6" s="58" t="s">
        <v>26</v>
      </c>
      <c r="H6" s="58" t="s">
        <v>85</v>
      </c>
      <c r="I6" s="30" t="s">
        <v>78</v>
      </c>
      <c r="J6" s="30" t="s">
        <v>85</v>
      </c>
      <c r="K6" s="30"/>
      <c r="L6" s="30" t="s">
        <v>78</v>
      </c>
      <c r="M6" s="30" t="s">
        <v>88</v>
      </c>
      <c r="N6" s="30" t="s">
        <v>26</v>
      </c>
      <c r="O6" s="32" t="s">
        <v>26</v>
      </c>
      <c r="P6" s="30" t="s">
        <v>89</v>
      </c>
    </row>
    <row r="7" spans="1:16" ht="195" x14ac:dyDescent="0.25">
      <c r="A7" s="30" t="s">
        <v>90</v>
      </c>
      <c r="B7" s="30" t="s">
        <v>91</v>
      </c>
      <c r="C7" s="30" t="s">
        <v>66</v>
      </c>
      <c r="D7" s="30" t="s">
        <v>67</v>
      </c>
      <c r="E7" s="32" t="s">
        <v>68</v>
      </c>
      <c r="F7" s="32" t="s">
        <v>83</v>
      </c>
      <c r="G7" s="58" t="s">
        <v>26</v>
      </c>
      <c r="H7" s="58" t="s">
        <v>92</v>
      </c>
      <c r="I7" s="30" t="s">
        <v>78</v>
      </c>
      <c r="J7" s="30" t="s">
        <v>93</v>
      </c>
      <c r="K7" s="30" t="s">
        <v>78</v>
      </c>
      <c r="L7" s="30" t="s">
        <v>72</v>
      </c>
      <c r="M7" s="30" t="s">
        <v>94</v>
      </c>
      <c r="N7" s="50" t="s">
        <v>95</v>
      </c>
      <c r="O7" s="49" t="s">
        <v>96</v>
      </c>
      <c r="P7" s="51"/>
    </row>
    <row r="8" spans="1:16" ht="135" x14ac:dyDescent="0.25">
      <c r="A8" s="30" t="s">
        <v>97</v>
      </c>
      <c r="B8" s="30" t="s">
        <v>91</v>
      </c>
      <c r="C8" s="30" t="s">
        <v>82</v>
      </c>
      <c r="D8" s="30" t="s">
        <v>67</v>
      </c>
      <c r="E8" s="32" t="s">
        <v>68</v>
      </c>
      <c r="F8" s="32" t="s">
        <v>83</v>
      </c>
      <c r="G8" s="58" t="s">
        <v>84</v>
      </c>
      <c r="H8" s="58" t="s">
        <v>92</v>
      </c>
      <c r="I8" s="30" t="s">
        <v>84</v>
      </c>
      <c r="J8" s="30" t="s">
        <v>93</v>
      </c>
      <c r="K8" s="30"/>
      <c r="L8" s="30" t="s">
        <v>78</v>
      </c>
      <c r="M8" s="30" t="s">
        <v>98</v>
      </c>
      <c r="N8" s="50" t="s">
        <v>74</v>
      </c>
      <c r="O8" s="49" t="s">
        <v>96</v>
      </c>
      <c r="P8" s="51"/>
    </row>
    <row r="9" spans="1:16" s="54" customFormat="1" ht="198" customHeight="1" x14ac:dyDescent="0.25">
      <c r="A9" s="52" t="s">
        <v>99</v>
      </c>
      <c r="B9" s="61" t="s">
        <v>100</v>
      </c>
      <c r="C9" s="52" t="s">
        <v>82</v>
      </c>
      <c r="D9" s="52" t="s">
        <v>101</v>
      </c>
      <c r="E9" s="52" t="s">
        <v>68</v>
      </c>
      <c r="F9" s="52" t="s">
        <v>83</v>
      </c>
      <c r="G9" s="57" t="s">
        <v>84</v>
      </c>
      <c r="H9" s="57" t="s">
        <v>102</v>
      </c>
      <c r="I9" s="52" t="s">
        <v>84</v>
      </c>
      <c r="J9" s="52" t="s">
        <v>103</v>
      </c>
      <c r="K9" s="52"/>
      <c r="L9" s="52" t="s">
        <v>78</v>
      </c>
      <c r="M9" s="52" t="s">
        <v>104</v>
      </c>
      <c r="N9" s="62" t="s">
        <v>26</v>
      </c>
      <c r="O9" s="63" t="s">
        <v>96</v>
      </c>
      <c r="P9" s="64" t="s">
        <v>105</v>
      </c>
    </row>
    <row r="10" spans="1:16" ht="135" x14ac:dyDescent="0.25">
      <c r="A10" s="55" t="s">
        <v>106</v>
      </c>
      <c r="B10" s="30" t="s">
        <v>107</v>
      </c>
      <c r="C10" s="30" t="s">
        <v>82</v>
      </c>
      <c r="D10" s="30" t="s">
        <v>101</v>
      </c>
      <c r="E10" s="30" t="s">
        <v>68</v>
      </c>
      <c r="F10" s="30" t="s">
        <v>83</v>
      </c>
      <c r="G10" s="58" t="s">
        <v>84</v>
      </c>
      <c r="H10" s="58" t="s">
        <v>108</v>
      </c>
      <c r="I10" s="30" t="s">
        <v>84</v>
      </c>
      <c r="J10" s="30" t="s">
        <v>109</v>
      </c>
      <c r="K10" s="30"/>
      <c r="L10" s="30" t="s">
        <v>78</v>
      </c>
      <c r="M10" s="30" t="s">
        <v>104</v>
      </c>
      <c r="N10" s="50" t="s">
        <v>26</v>
      </c>
      <c r="O10" s="49" t="s">
        <v>96</v>
      </c>
      <c r="P10" s="60"/>
    </row>
    <row r="11" spans="1:16" ht="135" x14ac:dyDescent="0.25">
      <c r="A11" s="30" t="s">
        <v>110</v>
      </c>
      <c r="B11" s="55" t="s">
        <v>111</v>
      </c>
      <c r="C11" s="30" t="s">
        <v>82</v>
      </c>
      <c r="D11" s="30" t="s">
        <v>101</v>
      </c>
      <c r="E11" s="30" t="s">
        <v>68</v>
      </c>
      <c r="F11" s="30" t="s">
        <v>83</v>
      </c>
      <c r="G11" s="58" t="s">
        <v>84</v>
      </c>
      <c r="H11" s="58" t="s">
        <v>112</v>
      </c>
      <c r="I11" s="30" t="s">
        <v>84</v>
      </c>
      <c r="J11" s="30" t="s">
        <v>113</v>
      </c>
      <c r="K11" s="30"/>
      <c r="L11" s="30" t="s">
        <v>78</v>
      </c>
      <c r="M11" s="30" t="s">
        <v>114</v>
      </c>
      <c r="N11" s="30" t="s">
        <v>26</v>
      </c>
      <c r="O11" s="49" t="s">
        <v>96</v>
      </c>
      <c r="P11" s="30"/>
    </row>
    <row r="12" spans="1:16" x14ac:dyDescent="0.25"/>
  </sheetData>
  <autoFilter ref="A1:P11" xr:uid="{C18B771B-374C-4895-A70E-F5342261E267}">
    <filterColumn colId="4" showButton="0"/>
    <filterColumn colId="6" showButton="0"/>
    <filterColumn colId="8" showButton="0"/>
    <filterColumn colId="10" showButton="0"/>
  </autoFilter>
  <mergeCells count="12">
    <mergeCell ref="A1:A2"/>
    <mergeCell ref="N1:N2"/>
    <mergeCell ref="P1:P2"/>
    <mergeCell ref="G1:H1"/>
    <mergeCell ref="B1:B2"/>
    <mergeCell ref="C1:C2"/>
    <mergeCell ref="D1:D2"/>
    <mergeCell ref="M1:M2"/>
    <mergeCell ref="I1:J1"/>
    <mergeCell ref="E1:F1"/>
    <mergeCell ref="O1:O2"/>
    <mergeCell ref="K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79DC4-3AB3-4928-B24E-36519DE6452C}">
  <dimension ref="A2:BB26"/>
  <sheetViews>
    <sheetView zoomScale="85" zoomScaleNormal="85" workbookViewId="0">
      <pane ySplit="5" topLeftCell="A12" activePane="bottomLeft" state="frozen"/>
      <selection pane="bottomLeft" activeCell="C12" sqref="C12"/>
    </sheetView>
  </sheetViews>
  <sheetFormatPr defaultColWidth="8.85546875" defaultRowHeight="15" x14ac:dyDescent="0.25"/>
  <cols>
    <col min="1" max="1" width="9.5703125" style="2" customWidth="1"/>
    <col min="2" max="2" width="11.7109375" style="2" bestFit="1" customWidth="1"/>
    <col min="3" max="3" width="38" style="2" bestFit="1" customWidth="1"/>
    <col min="4" max="4" width="18.7109375" style="2" bestFit="1" customWidth="1"/>
    <col min="5" max="5" width="10" style="2" bestFit="1" customWidth="1"/>
    <col min="6" max="6" width="52.7109375" style="10" customWidth="1"/>
    <col min="7" max="7" width="11.7109375" style="2" bestFit="1" customWidth="1"/>
    <col min="8" max="8" width="15" style="2" bestFit="1" customWidth="1"/>
    <col min="9" max="9" width="3.85546875" style="40" customWidth="1"/>
    <col min="10" max="10" width="9.42578125" style="2" bestFit="1" customWidth="1"/>
    <col min="11" max="11" width="38" style="2" bestFit="1" customWidth="1"/>
    <col min="12" max="12" width="18.7109375" style="2" bestFit="1" customWidth="1"/>
    <col min="13" max="13" width="10" style="2" bestFit="1" customWidth="1"/>
    <col min="14" max="14" width="20.7109375" style="10" customWidth="1"/>
    <col min="15" max="15" width="13.28515625" style="2" bestFit="1" customWidth="1"/>
    <col min="16" max="16" width="19.5703125" style="2" bestFit="1" customWidth="1"/>
    <col min="17" max="17" width="20.28515625" style="2" bestFit="1" customWidth="1"/>
    <col min="18" max="19" width="15.140625" style="2" customWidth="1"/>
    <col min="20" max="20" width="3.85546875" style="40" customWidth="1"/>
    <col min="21" max="21" width="9.42578125" style="2" bestFit="1" customWidth="1"/>
    <col min="22" max="22" width="38" style="2" bestFit="1" customWidth="1"/>
    <col min="23" max="23" width="18.7109375" style="2" bestFit="1" customWidth="1"/>
    <col min="24" max="24" width="10" style="2" bestFit="1" customWidth="1"/>
    <col min="25" max="25" width="24.42578125" style="10" bestFit="1" customWidth="1"/>
    <col min="26" max="26" width="20.7109375" style="10" customWidth="1"/>
    <col min="27" max="27" width="13.28515625" style="2" bestFit="1" customWidth="1"/>
    <col min="28" max="29" width="13.28515625" style="2" customWidth="1"/>
    <col min="30" max="30" width="11.7109375" style="2" customWidth="1"/>
    <col min="31" max="31" width="15" style="2" bestFit="1" customWidth="1"/>
    <col min="32" max="32" width="3.85546875" style="40" customWidth="1"/>
    <col min="33" max="33" width="12.7109375" style="10" customWidth="1"/>
    <col min="34" max="34" width="14.42578125" style="2" customWidth="1"/>
    <col min="35" max="35" width="18.7109375" style="2" bestFit="1" customWidth="1"/>
    <col min="36" max="36" width="10" style="2" bestFit="1" customWidth="1"/>
    <col min="37" max="37" width="18.28515625" style="10" customWidth="1"/>
    <col min="38" max="38" width="13.28515625" style="2" bestFit="1" customWidth="1"/>
    <col min="39" max="39" width="19.5703125" style="2" bestFit="1" customWidth="1"/>
    <col min="40" max="40" width="20.42578125" style="2" bestFit="1" customWidth="1"/>
    <col min="41" max="41" width="10.7109375" style="2" customWidth="1"/>
    <col min="42" max="42" width="15" style="2" bestFit="1" customWidth="1"/>
    <col min="43" max="43" width="3.85546875" style="40" customWidth="1"/>
    <col min="44" max="44" width="11.7109375" style="2" bestFit="1" customWidth="1"/>
    <col min="45" max="45" width="22.140625" style="2" customWidth="1"/>
    <col min="46" max="46" width="18.7109375" style="2" bestFit="1" customWidth="1"/>
    <col min="47" max="47" width="10" style="2" bestFit="1" customWidth="1"/>
    <col min="48" max="48" width="21.85546875" style="10" customWidth="1"/>
    <col min="49" max="49" width="13.28515625" style="2" bestFit="1" customWidth="1"/>
    <col min="50" max="50" width="19.5703125" style="2" bestFit="1" customWidth="1"/>
    <col min="51" max="51" width="20.28515625" style="2" bestFit="1" customWidth="1"/>
    <col min="52" max="52" width="9.140625" style="2"/>
    <col min="53" max="53" width="15" style="2" bestFit="1" customWidth="1"/>
    <col min="54" max="54" width="15.85546875" style="2" customWidth="1"/>
    <col min="55" max="16384" width="8.85546875" style="2"/>
  </cols>
  <sheetData>
    <row r="2" spans="1:54" s="3" customFormat="1" x14ac:dyDescent="0.25">
      <c r="A2" s="3" t="s">
        <v>115</v>
      </c>
      <c r="F2" s="11"/>
      <c r="I2" s="39"/>
      <c r="N2" s="11"/>
      <c r="T2" s="39"/>
      <c r="Y2" s="11"/>
      <c r="Z2" s="11"/>
      <c r="AF2" s="39"/>
      <c r="AG2" s="11"/>
      <c r="AK2" s="11"/>
      <c r="AQ2" s="39"/>
      <c r="AV2" s="11"/>
    </row>
    <row r="3" spans="1:54" s="1" customFormat="1" x14ac:dyDescent="0.25">
      <c r="B3" s="1" t="s">
        <v>57</v>
      </c>
      <c r="F3" s="12"/>
      <c r="I3" s="39"/>
      <c r="J3" s="1" t="s">
        <v>58</v>
      </c>
      <c r="N3" s="12"/>
      <c r="T3" s="39"/>
      <c r="U3" s="1" t="s">
        <v>35</v>
      </c>
      <c r="Y3" s="12"/>
      <c r="Z3" s="12"/>
      <c r="AF3" s="39"/>
      <c r="AG3" s="12" t="s">
        <v>43</v>
      </c>
      <c r="AK3" s="12"/>
      <c r="AQ3" s="39"/>
      <c r="AR3" s="1" t="s">
        <v>116</v>
      </c>
      <c r="AV3" s="12"/>
    </row>
    <row r="4" spans="1:54" s="1" customFormat="1" ht="75" x14ac:dyDescent="0.25">
      <c r="F4" s="15" t="s">
        <v>117</v>
      </c>
      <c r="G4" s="1" t="s">
        <v>118</v>
      </c>
      <c r="I4" s="39"/>
      <c r="J4" s="26" t="s">
        <v>119</v>
      </c>
      <c r="N4" s="15" t="s">
        <v>120</v>
      </c>
      <c r="P4" s="26" t="s">
        <v>121</v>
      </c>
      <c r="Q4" s="26" t="s">
        <v>122</v>
      </c>
      <c r="R4" s="97" t="s">
        <v>123</v>
      </c>
      <c r="S4" s="97"/>
      <c r="T4" s="39"/>
      <c r="U4" s="26" t="s">
        <v>119</v>
      </c>
      <c r="Y4" s="12"/>
      <c r="Z4" s="15" t="s">
        <v>124</v>
      </c>
      <c r="AB4" s="26" t="s">
        <v>121</v>
      </c>
      <c r="AC4" s="26" t="s">
        <v>122</v>
      </c>
      <c r="AD4" s="97" t="s">
        <v>123</v>
      </c>
      <c r="AE4" s="97"/>
      <c r="AF4" s="39"/>
      <c r="AG4" s="26" t="s">
        <v>119</v>
      </c>
      <c r="AK4" s="15" t="s">
        <v>125</v>
      </c>
      <c r="AO4" s="97" t="s">
        <v>123</v>
      </c>
      <c r="AP4" s="97"/>
      <c r="AQ4" s="39"/>
      <c r="AR4" s="98" t="s">
        <v>126</v>
      </c>
      <c r="AS4" s="98"/>
      <c r="AT4" s="98"/>
      <c r="AU4" s="98"/>
      <c r="AV4" s="98"/>
      <c r="AW4" s="98"/>
      <c r="AX4" s="98"/>
      <c r="AY4" s="98"/>
      <c r="BB4" s="26" t="s">
        <v>127</v>
      </c>
    </row>
    <row r="5" spans="1:54" s="1" customFormat="1" x14ac:dyDescent="0.25">
      <c r="A5" s="5"/>
      <c r="B5" s="1" t="s">
        <v>128</v>
      </c>
      <c r="C5" s="1" t="s">
        <v>129</v>
      </c>
      <c r="D5" s="1" t="s">
        <v>130</v>
      </c>
      <c r="E5" s="1" t="s">
        <v>131</v>
      </c>
      <c r="F5" s="12" t="s">
        <v>132</v>
      </c>
      <c r="G5" s="1" t="s">
        <v>68</v>
      </c>
      <c r="H5" s="1" t="s">
        <v>133</v>
      </c>
      <c r="I5" s="39"/>
      <c r="J5" s="1" t="s">
        <v>128</v>
      </c>
      <c r="K5" s="1" t="s">
        <v>129</v>
      </c>
      <c r="L5" s="1" t="s">
        <v>130</v>
      </c>
      <c r="M5" s="1" t="s">
        <v>131</v>
      </c>
      <c r="N5" s="12" t="s">
        <v>132</v>
      </c>
      <c r="O5" s="1" t="s">
        <v>134</v>
      </c>
      <c r="P5" s="1" t="s">
        <v>135</v>
      </c>
      <c r="Q5" s="1" t="s">
        <v>136</v>
      </c>
      <c r="R5" s="1" t="s">
        <v>68</v>
      </c>
      <c r="S5" s="1" t="s">
        <v>133</v>
      </c>
      <c r="T5" s="39"/>
      <c r="U5" s="1" t="s">
        <v>128</v>
      </c>
      <c r="V5" s="1" t="s">
        <v>129</v>
      </c>
      <c r="W5" s="1" t="s">
        <v>130</v>
      </c>
      <c r="X5" s="1" t="s">
        <v>131</v>
      </c>
      <c r="Y5" s="12" t="s">
        <v>137</v>
      </c>
      <c r="Z5" s="12" t="s">
        <v>132</v>
      </c>
      <c r="AA5" s="1" t="s">
        <v>134</v>
      </c>
      <c r="AB5" s="1" t="s">
        <v>135</v>
      </c>
      <c r="AC5" s="1" t="s">
        <v>136</v>
      </c>
      <c r="AD5" s="1" t="s">
        <v>68</v>
      </c>
      <c r="AE5" s="1" t="s">
        <v>133</v>
      </c>
      <c r="AF5" s="39"/>
      <c r="AG5" s="12" t="s">
        <v>128</v>
      </c>
      <c r="AH5" s="1" t="s">
        <v>129</v>
      </c>
      <c r="AI5" s="1" t="s">
        <v>130</v>
      </c>
      <c r="AJ5" s="1" t="s">
        <v>131</v>
      </c>
      <c r="AK5" s="12" t="s">
        <v>132</v>
      </c>
      <c r="AL5" s="1" t="s">
        <v>134</v>
      </c>
      <c r="AM5" s="1" t="s">
        <v>135</v>
      </c>
      <c r="AN5" s="1" t="s">
        <v>136</v>
      </c>
      <c r="AO5" s="1" t="s">
        <v>68</v>
      </c>
      <c r="AP5" s="1" t="s">
        <v>133</v>
      </c>
      <c r="AQ5" s="39"/>
      <c r="AR5" s="1" t="s">
        <v>128</v>
      </c>
      <c r="AS5" s="1" t="s">
        <v>129</v>
      </c>
      <c r="AT5" s="1" t="s">
        <v>130</v>
      </c>
      <c r="AU5" s="1" t="s">
        <v>131</v>
      </c>
      <c r="AV5" s="12" t="s">
        <v>132</v>
      </c>
      <c r="AW5" s="1" t="s">
        <v>134</v>
      </c>
      <c r="AX5" s="1" t="s">
        <v>135</v>
      </c>
      <c r="AY5" s="1" t="s">
        <v>136</v>
      </c>
      <c r="AZ5" s="1" t="s">
        <v>68</v>
      </c>
      <c r="BA5" s="1" t="s">
        <v>133</v>
      </c>
      <c r="BB5" s="1" t="s">
        <v>138</v>
      </c>
    </row>
    <row r="6" spans="1:54" s="1" customFormat="1" x14ac:dyDescent="0.25">
      <c r="A6" s="5" t="s">
        <v>139</v>
      </c>
      <c r="B6" s="2" t="s">
        <v>140</v>
      </c>
      <c r="C6" s="2" t="s">
        <v>141</v>
      </c>
      <c r="D6" s="2" t="s">
        <v>142</v>
      </c>
      <c r="E6" s="2" t="s">
        <v>143</v>
      </c>
      <c r="F6" s="2" t="str">
        <f>B6&amp;C6&amp;D6&amp;E6</f>
        <v>001KENANGA INVESTMENT BANK BHD - HQKLM300000000</v>
      </c>
      <c r="G6" s="2" t="s">
        <v>139</v>
      </c>
      <c r="H6" s="2" t="s">
        <v>144</v>
      </c>
      <c r="I6" s="40"/>
      <c r="J6" s="2" t="s">
        <v>140</v>
      </c>
      <c r="K6" s="2" t="s">
        <v>141</v>
      </c>
      <c r="L6" s="2" t="s">
        <v>142</v>
      </c>
      <c r="M6" s="2" t="s">
        <v>143</v>
      </c>
      <c r="N6" s="2" t="str">
        <f>J6&amp;K6&amp;L6&amp;M6</f>
        <v>001KENANGA INVESTMENT BANK BHD - HQKLM300000000</v>
      </c>
      <c r="O6" s="2" t="s">
        <v>145</v>
      </c>
      <c r="P6" s="2" t="s">
        <v>139</v>
      </c>
      <c r="Q6" s="2" t="s">
        <v>139</v>
      </c>
      <c r="R6" s="2" t="s">
        <v>139</v>
      </c>
      <c r="S6" s="2" t="s">
        <v>144</v>
      </c>
      <c r="T6" s="40"/>
      <c r="U6" s="2" t="s">
        <v>140</v>
      </c>
      <c r="V6" s="2" t="s">
        <v>141</v>
      </c>
      <c r="W6" s="2" t="s">
        <v>142</v>
      </c>
      <c r="X6" s="2" t="s">
        <v>143</v>
      </c>
      <c r="Y6" s="10" t="str">
        <f>REPLACE(V6, 1, 30, "")</f>
        <v>HQ</v>
      </c>
      <c r="Z6" s="2" t="str">
        <f>V6&amp;W6&amp;X6&amp;Y6</f>
        <v>KENANGA INVESTMENT BANK BHD - HQKLM300000000HQ</v>
      </c>
      <c r="AA6" s="2" t="s">
        <v>145</v>
      </c>
      <c r="AB6" s="2" t="s">
        <v>139</v>
      </c>
      <c r="AC6" s="2" t="s">
        <v>139</v>
      </c>
      <c r="AD6" s="2" t="s">
        <v>139</v>
      </c>
      <c r="AE6" s="2" t="s">
        <v>144</v>
      </c>
      <c r="AF6" s="40"/>
      <c r="AG6" s="10" t="s">
        <v>146</v>
      </c>
      <c r="AH6" s="2" t="s">
        <v>147</v>
      </c>
      <c r="AI6" s="2" t="s">
        <v>142</v>
      </c>
      <c r="AJ6" s="2" t="s">
        <v>143</v>
      </c>
      <c r="AK6" s="10" t="str">
        <f>AG6&amp;AH6&amp;AI6&amp;AJ6</f>
        <v>MHBOS_001HQKLM300000000</v>
      </c>
      <c r="AL6" s="2" t="s">
        <v>145</v>
      </c>
      <c r="AM6" s="2" t="s">
        <v>139</v>
      </c>
      <c r="AN6" s="2" t="s">
        <v>139</v>
      </c>
      <c r="AO6" s="2" t="s">
        <v>139</v>
      </c>
      <c r="AP6" s="2" t="s">
        <v>144</v>
      </c>
      <c r="AQ6" s="40"/>
      <c r="AR6" s="2"/>
      <c r="AS6" s="2"/>
      <c r="AT6" s="2"/>
      <c r="AU6" s="2"/>
      <c r="AV6" s="10" t="str">
        <f>AR6&amp;AS6&amp;AT6&amp;AU6</f>
        <v/>
      </c>
      <c r="AW6" s="2"/>
    </row>
    <row r="7" spans="1:54" x14ac:dyDescent="0.25">
      <c r="B7" s="2" t="s">
        <v>148</v>
      </c>
      <c r="C7" s="2" t="s">
        <v>149</v>
      </c>
      <c r="D7" s="2" t="s">
        <v>150</v>
      </c>
      <c r="E7" s="2" t="s">
        <v>143</v>
      </c>
      <c r="F7" s="2" t="str">
        <f t="shared" ref="F7:F25" si="0">B7&amp;C7&amp;D7&amp;E7</f>
        <v>002KENANGA INVESTMENT BANK BHD - MIRIMIRI300000000</v>
      </c>
      <c r="G7" s="2" t="s">
        <v>139</v>
      </c>
      <c r="H7" s="2" t="s">
        <v>144</v>
      </c>
      <c r="J7" s="2" t="s">
        <v>148</v>
      </c>
      <c r="K7" s="2" t="s">
        <v>149</v>
      </c>
      <c r="L7" s="2" t="s">
        <v>150</v>
      </c>
      <c r="M7" s="2" t="s">
        <v>143</v>
      </c>
      <c r="N7" s="2" t="str">
        <f t="shared" ref="N7:N26" si="1">J7&amp;K7&amp;L7&amp;M7</f>
        <v>002KENANGA INVESTMENT BANK BHD - MIRIMIRI300000000</v>
      </c>
      <c r="O7" s="2" t="s">
        <v>145</v>
      </c>
      <c r="P7" s="2" t="s">
        <v>139</v>
      </c>
      <c r="Q7" s="2" t="s">
        <v>139</v>
      </c>
      <c r="R7" s="2" t="s">
        <v>139</v>
      </c>
      <c r="S7" s="2" t="s">
        <v>144</v>
      </c>
      <c r="U7" s="2" t="s">
        <v>148</v>
      </c>
      <c r="V7" s="2" t="s">
        <v>149</v>
      </c>
      <c r="W7" s="2" t="s">
        <v>150</v>
      </c>
      <c r="X7" s="2" t="s">
        <v>143</v>
      </c>
      <c r="Y7" s="10" t="str">
        <f t="shared" ref="Y7:Y15" si="2">REPLACE(V7, 1, 30, "")</f>
        <v>MIRI</v>
      </c>
      <c r="Z7" s="2" t="str">
        <f t="shared" ref="Z7:Z26" si="3">V7&amp;W7&amp;X7&amp;Y7</f>
        <v>KENANGA INVESTMENT BANK BHD - MIRIMIRI300000000MIRI</v>
      </c>
      <c r="AA7" s="2" t="s">
        <v>145</v>
      </c>
      <c r="AB7" s="2" t="s">
        <v>139</v>
      </c>
      <c r="AC7" s="2" t="s">
        <v>139</v>
      </c>
      <c r="AD7" s="2" t="s">
        <v>139</v>
      </c>
      <c r="AE7" s="2" t="s">
        <v>144</v>
      </c>
      <c r="AG7" s="10" t="s">
        <v>151</v>
      </c>
      <c r="AH7" s="2" t="s">
        <v>150</v>
      </c>
      <c r="AI7" s="2" t="s">
        <v>150</v>
      </c>
      <c r="AJ7" s="2" t="s">
        <v>143</v>
      </c>
      <c r="AK7" s="10" t="str">
        <f t="shared" ref="AK7:AK15" si="4">AG7&amp;AH7&amp;AI7&amp;AJ7</f>
        <v>MHBOS_002MIRIMIRI300000000</v>
      </c>
      <c r="AL7" s="2" t="s">
        <v>145</v>
      </c>
      <c r="AM7" s="2" t="s">
        <v>139</v>
      </c>
      <c r="AN7" s="2" t="s">
        <v>139</v>
      </c>
      <c r="AO7" s="2" t="s">
        <v>139</v>
      </c>
      <c r="AP7" s="2" t="s">
        <v>144</v>
      </c>
      <c r="AV7" s="10" t="str">
        <f t="shared" ref="AV7:AV15" si="5">AR7&amp;AS7&amp;AT7&amp;AU7</f>
        <v/>
      </c>
    </row>
    <row r="8" spans="1:54" x14ac:dyDescent="0.25">
      <c r="B8" s="2" t="s">
        <v>152</v>
      </c>
      <c r="C8" s="2" t="s">
        <v>153</v>
      </c>
      <c r="D8" s="2" t="s">
        <v>154</v>
      </c>
      <c r="E8" s="2" t="s">
        <v>143</v>
      </c>
      <c r="F8" s="2" t="str">
        <f t="shared" si="0"/>
        <v>003KENANGA INVESTMENT BANK BHD - KUCKUC300000000</v>
      </c>
      <c r="G8" s="2" t="s">
        <v>139</v>
      </c>
      <c r="H8" s="2" t="s">
        <v>144</v>
      </c>
      <c r="J8" s="2" t="s">
        <v>152</v>
      </c>
      <c r="K8" s="2" t="s">
        <v>153</v>
      </c>
      <c r="L8" s="2" t="s">
        <v>154</v>
      </c>
      <c r="M8" s="2" t="s">
        <v>143</v>
      </c>
      <c r="N8" s="2" t="str">
        <f t="shared" si="1"/>
        <v>003KENANGA INVESTMENT BANK BHD - KUCKUC300000000</v>
      </c>
      <c r="O8" s="2" t="s">
        <v>145</v>
      </c>
      <c r="P8" s="2" t="s">
        <v>139</v>
      </c>
      <c r="Q8" s="2" t="s">
        <v>139</v>
      </c>
      <c r="R8" s="2" t="s">
        <v>139</v>
      </c>
      <c r="S8" s="2" t="s">
        <v>144</v>
      </c>
      <c r="U8" s="2" t="s">
        <v>152</v>
      </c>
      <c r="V8" s="2" t="s">
        <v>153</v>
      </c>
      <c r="W8" s="2" t="s">
        <v>154</v>
      </c>
      <c r="X8" s="2" t="s">
        <v>143</v>
      </c>
      <c r="Y8" s="10" t="str">
        <f t="shared" si="2"/>
        <v>KUC</v>
      </c>
      <c r="Z8" s="2" t="str">
        <f t="shared" si="3"/>
        <v>KENANGA INVESTMENT BANK BHD - KUCKUC300000000KUC</v>
      </c>
      <c r="AA8" s="2" t="s">
        <v>145</v>
      </c>
      <c r="AB8" s="2" t="s">
        <v>139</v>
      </c>
      <c r="AC8" s="2" t="s">
        <v>139</v>
      </c>
      <c r="AD8" s="2" t="s">
        <v>139</v>
      </c>
      <c r="AE8" s="2" t="s">
        <v>144</v>
      </c>
      <c r="AG8" s="10" t="s">
        <v>155</v>
      </c>
      <c r="AH8" s="2" t="s">
        <v>154</v>
      </c>
      <c r="AI8" s="2" t="s">
        <v>154</v>
      </c>
      <c r="AJ8" s="2" t="s">
        <v>143</v>
      </c>
      <c r="AK8" s="10" t="str">
        <f t="shared" si="4"/>
        <v>MHBOS_003KUCKUC300000000</v>
      </c>
      <c r="AL8" s="2" t="s">
        <v>145</v>
      </c>
      <c r="AM8" s="2" t="s">
        <v>139</v>
      </c>
      <c r="AN8" s="2" t="s">
        <v>139</v>
      </c>
      <c r="AO8" s="2" t="s">
        <v>139</v>
      </c>
      <c r="AP8" s="2" t="s">
        <v>144</v>
      </c>
      <c r="AV8" s="10" t="str">
        <f t="shared" si="5"/>
        <v/>
      </c>
    </row>
    <row r="9" spans="1:54" x14ac:dyDescent="0.25">
      <c r="B9" s="2" t="s">
        <v>156</v>
      </c>
      <c r="C9" s="2" t="s">
        <v>157</v>
      </c>
      <c r="D9" s="2" t="s">
        <v>158</v>
      </c>
      <c r="E9" s="2" t="s">
        <v>143</v>
      </c>
      <c r="F9" s="2" t="str">
        <f t="shared" si="0"/>
        <v>004KENANGA INVESTMENT BANK BHD - JBJB300000000</v>
      </c>
      <c r="G9" s="2" t="s">
        <v>139</v>
      </c>
      <c r="H9" s="2" t="s">
        <v>144</v>
      </c>
      <c r="J9" s="2" t="s">
        <v>156</v>
      </c>
      <c r="K9" s="2" t="s">
        <v>157</v>
      </c>
      <c r="L9" s="2" t="s">
        <v>158</v>
      </c>
      <c r="M9" s="2" t="s">
        <v>143</v>
      </c>
      <c r="N9" s="2" t="str">
        <f t="shared" si="1"/>
        <v>004KENANGA INVESTMENT BANK BHD - JBJB300000000</v>
      </c>
      <c r="O9" s="2" t="s">
        <v>145</v>
      </c>
      <c r="P9" s="2" t="s">
        <v>139</v>
      </c>
      <c r="Q9" s="2" t="s">
        <v>139</v>
      </c>
      <c r="R9" s="2" t="s">
        <v>139</v>
      </c>
      <c r="S9" s="2" t="s">
        <v>144</v>
      </c>
      <c r="U9" s="2" t="s">
        <v>156</v>
      </c>
      <c r="V9" s="2" t="s">
        <v>157</v>
      </c>
      <c r="W9" s="2" t="s">
        <v>158</v>
      </c>
      <c r="X9" s="2" t="s">
        <v>143</v>
      </c>
      <c r="Y9" s="10" t="str">
        <f t="shared" si="2"/>
        <v>JB</v>
      </c>
      <c r="Z9" s="2" t="str">
        <f t="shared" si="3"/>
        <v>KENANGA INVESTMENT BANK BHD - JBJB300000000JB</v>
      </c>
      <c r="AA9" s="2" t="s">
        <v>145</v>
      </c>
      <c r="AB9" s="2" t="s">
        <v>139</v>
      </c>
      <c r="AC9" s="2" t="s">
        <v>139</v>
      </c>
      <c r="AD9" s="2" t="s">
        <v>139</v>
      </c>
      <c r="AE9" s="2" t="s">
        <v>144</v>
      </c>
      <c r="AG9" s="10" t="s">
        <v>159</v>
      </c>
      <c r="AH9" s="2" t="s">
        <v>158</v>
      </c>
      <c r="AI9" s="2" t="s">
        <v>158</v>
      </c>
      <c r="AJ9" s="2" t="s">
        <v>143</v>
      </c>
      <c r="AK9" s="10" t="str">
        <f t="shared" si="4"/>
        <v>MHBOS_004JBJB300000000</v>
      </c>
      <c r="AL9" s="2" t="s">
        <v>145</v>
      </c>
      <c r="AM9" s="2" t="s">
        <v>139</v>
      </c>
      <c r="AN9" s="2" t="s">
        <v>139</v>
      </c>
      <c r="AO9" s="2" t="s">
        <v>139</v>
      </c>
      <c r="AP9" s="2" t="s">
        <v>144</v>
      </c>
      <c r="AV9" s="10" t="str">
        <f t="shared" si="5"/>
        <v/>
      </c>
    </row>
    <row r="10" spans="1:54" x14ac:dyDescent="0.25">
      <c r="B10" s="2" t="s">
        <v>160</v>
      </c>
      <c r="C10" s="2" t="s">
        <v>161</v>
      </c>
      <c r="D10" s="2" t="s">
        <v>162</v>
      </c>
      <c r="E10" s="2" t="s">
        <v>143</v>
      </c>
      <c r="F10" s="2" t="str">
        <f t="shared" si="0"/>
        <v>005KENANGA INVESTMENT BANK BHD - PJPJ300000000</v>
      </c>
      <c r="G10" s="2" t="s">
        <v>139</v>
      </c>
      <c r="H10" s="2" t="s">
        <v>144</v>
      </c>
      <c r="J10" s="2" t="s">
        <v>160</v>
      </c>
      <c r="K10" s="2" t="s">
        <v>161</v>
      </c>
      <c r="L10" s="2" t="s">
        <v>162</v>
      </c>
      <c r="M10" s="2" t="s">
        <v>143</v>
      </c>
      <c r="N10" s="2" t="str">
        <f t="shared" si="1"/>
        <v>005KENANGA INVESTMENT BANK BHD - PJPJ300000000</v>
      </c>
      <c r="O10" s="2" t="s">
        <v>145</v>
      </c>
      <c r="P10" s="2" t="s">
        <v>139</v>
      </c>
      <c r="Q10" s="2" t="s">
        <v>139</v>
      </c>
      <c r="R10" s="2" t="s">
        <v>139</v>
      </c>
      <c r="S10" s="2" t="s">
        <v>144</v>
      </c>
      <c r="U10" s="2" t="s">
        <v>160</v>
      </c>
      <c r="V10" s="2" t="s">
        <v>161</v>
      </c>
      <c r="W10" s="2" t="s">
        <v>162</v>
      </c>
      <c r="X10" s="2" t="s">
        <v>143</v>
      </c>
      <c r="Y10" s="10" t="str">
        <f t="shared" si="2"/>
        <v>PJ</v>
      </c>
      <c r="Z10" s="2" t="str">
        <f t="shared" si="3"/>
        <v>KENANGA INVESTMENT BANK BHD - PJPJ300000000PJ</v>
      </c>
      <c r="AA10" s="2" t="s">
        <v>145</v>
      </c>
      <c r="AB10" s="2" t="s">
        <v>139</v>
      </c>
      <c r="AC10" s="2" t="s">
        <v>139</v>
      </c>
      <c r="AD10" s="2" t="s">
        <v>139</v>
      </c>
      <c r="AE10" s="2" t="s">
        <v>144</v>
      </c>
      <c r="AG10" s="10" t="s">
        <v>163</v>
      </c>
      <c r="AH10" s="2" t="s">
        <v>162</v>
      </c>
      <c r="AI10" s="2" t="s">
        <v>162</v>
      </c>
      <c r="AJ10" s="2" t="s">
        <v>143</v>
      </c>
      <c r="AK10" s="10" t="str">
        <f t="shared" si="4"/>
        <v>MHBOS_005PJPJ300000000</v>
      </c>
      <c r="AL10" s="2" t="s">
        <v>145</v>
      </c>
      <c r="AM10" s="2" t="s">
        <v>139</v>
      </c>
      <c r="AN10" s="2" t="s">
        <v>139</v>
      </c>
      <c r="AO10" s="2" t="s">
        <v>139</v>
      </c>
      <c r="AP10" s="2" t="s">
        <v>144</v>
      </c>
      <c r="AV10" s="10" t="str">
        <f t="shared" si="5"/>
        <v/>
      </c>
    </row>
    <row r="11" spans="1:54" x14ac:dyDescent="0.25">
      <c r="B11" s="2" t="s">
        <v>164</v>
      </c>
      <c r="C11" s="2" t="s">
        <v>165</v>
      </c>
      <c r="D11" s="2" t="s">
        <v>166</v>
      </c>
      <c r="E11" s="2" t="s">
        <v>143</v>
      </c>
      <c r="F11" s="2" t="str">
        <f t="shared" si="0"/>
        <v>006KENANGA INVESTMENT BANK BHD - USJUSJ300000000</v>
      </c>
      <c r="G11" s="2" t="s">
        <v>139</v>
      </c>
      <c r="H11" s="2" t="s">
        <v>144</v>
      </c>
      <c r="J11" s="2" t="s">
        <v>164</v>
      </c>
      <c r="K11" s="2" t="s">
        <v>165</v>
      </c>
      <c r="L11" s="2" t="s">
        <v>166</v>
      </c>
      <c r="M11" s="2" t="s">
        <v>143</v>
      </c>
      <c r="N11" s="2" t="str">
        <f t="shared" si="1"/>
        <v>006KENANGA INVESTMENT BANK BHD - USJUSJ300000000</v>
      </c>
      <c r="O11" s="2" t="s">
        <v>145</v>
      </c>
      <c r="P11" s="2" t="s">
        <v>139</v>
      </c>
      <c r="Q11" s="2" t="s">
        <v>139</v>
      </c>
      <c r="R11" s="2" t="s">
        <v>139</v>
      </c>
      <c r="S11" s="2" t="s">
        <v>144</v>
      </c>
      <c r="U11" s="2" t="s">
        <v>164</v>
      </c>
      <c r="V11" s="2" t="s">
        <v>165</v>
      </c>
      <c r="W11" s="2" t="s">
        <v>166</v>
      </c>
      <c r="X11" s="2" t="s">
        <v>143</v>
      </c>
      <c r="Y11" s="10" t="str">
        <f t="shared" si="2"/>
        <v>USJ</v>
      </c>
      <c r="Z11" s="2" t="str">
        <f t="shared" si="3"/>
        <v>KENANGA INVESTMENT BANK BHD - USJUSJ300000000USJ</v>
      </c>
      <c r="AA11" s="2" t="s">
        <v>145</v>
      </c>
      <c r="AB11" s="2" t="s">
        <v>139</v>
      </c>
      <c r="AC11" s="2" t="s">
        <v>139</v>
      </c>
      <c r="AD11" s="2" t="s">
        <v>139</v>
      </c>
      <c r="AE11" s="2" t="s">
        <v>144</v>
      </c>
      <c r="AG11" s="10" t="s">
        <v>167</v>
      </c>
      <c r="AH11" s="2" t="s">
        <v>166</v>
      </c>
      <c r="AI11" s="2" t="s">
        <v>166</v>
      </c>
      <c r="AJ11" s="2" t="s">
        <v>143</v>
      </c>
      <c r="AK11" s="10" t="str">
        <f t="shared" si="4"/>
        <v>MHBOS_006USJUSJ300000000</v>
      </c>
      <c r="AL11" s="2" t="s">
        <v>145</v>
      </c>
      <c r="AM11" s="2" t="s">
        <v>139</v>
      </c>
      <c r="AN11" s="2" t="s">
        <v>139</v>
      </c>
      <c r="AO11" s="2" t="s">
        <v>139</v>
      </c>
      <c r="AP11" s="2" t="s">
        <v>144</v>
      </c>
      <c r="AV11" s="10" t="str">
        <f t="shared" si="5"/>
        <v/>
      </c>
    </row>
    <row r="12" spans="1:54" x14ac:dyDescent="0.25">
      <c r="B12" s="2" t="s">
        <v>168</v>
      </c>
      <c r="C12" s="2" t="s">
        <v>169</v>
      </c>
      <c r="D12" s="2" t="s">
        <v>170</v>
      </c>
      <c r="E12" s="2" t="s">
        <v>143</v>
      </c>
      <c r="F12" s="2" t="str">
        <f t="shared" si="0"/>
        <v>007KENANGA INVESTMENT BANK BHD - KLGKLANG300000000</v>
      </c>
      <c r="G12" s="2" t="s">
        <v>139</v>
      </c>
      <c r="H12" s="2" t="s">
        <v>144</v>
      </c>
      <c r="J12" s="2" t="s">
        <v>168</v>
      </c>
      <c r="K12" s="2" t="s">
        <v>169</v>
      </c>
      <c r="L12" s="2" t="s">
        <v>170</v>
      </c>
      <c r="M12" s="2" t="s">
        <v>143</v>
      </c>
      <c r="N12" s="2" t="str">
        <f t="shared" si="1"/>
        <v>007KENANGA INVESTMENT BANK BHD - KLGKLANG300000000</v>
      </c>
      <c r="O12" s="2" t="s">
        <v>145</v>
      </c>
      <c r="P12" s="2" t="s">
        <v>139</v>
      </c>
      <c r="Q12" s="2" t="s">
        <v>139</v>
      </c>
      <c r="R12" s="2" t="s">
        <v>139</v>
      </c>
      <c r="S12" s="2" t="s">
        <v>144</v>
      </c>
      <c r="U12" s="2" t="s">
        <v>168</v>
      </c>
      <c r="V12" s="2" t="s">
        <v>169</v>
      </c>
      <c r="W12" s="2" t="s">
        <v>170</v>
      </c>
      <c r="X12" s="2" t="s">
        <v>143</v>
      </c>
      <c r="Y12" s="10" t="str">
        <f t="shared" si="2"/>
        <v>KLG</v>
      </c>
      <c r="Z12" s="2" t="str">
        <f t="shared" si="3"/>
        <v>KENANGA INVESTMENT BANK BHD - KLGKLANG300000000KLG</v>
      </c>
      <c r="AA12" s="2" t="s">
        <v>145</v>
      </c>
      <c r="AB12" s="2" t="s">
        <v>139</v>
      </c>
      <c r="AC12" s="2" t="s">
        <v>139</v>
      </c>
      <c r="AD12" s="2" t="s">
        <v>139</v>
      </c>
      <c r="AE12" s="2" t="s">
        <v>144</v>
      </c>
      <c r="AG12" s="10" t="s">
        <v>171</v>
      </c>
      <c r="AH12" s="2" t="s">
        <v>172</v>
      </c>
      <c r="AI12" s="2" t="s">
        <v>170</v>
      </c>
      <c r="AJ12" s="2" t="s">
        <v>143</v>
      </c>
      <c r="AK12" s="10" t="str">
        <f t="shared" si="4"/>
        <v>MHBOS_007KLGKLANG300000000</v>
      </c>
      <c r="AL12" s="2" t="s">
        <v>145</v>
      </c>
      <c r="AM12" s="2" t="s">
        <v>139</v>
      </c>
      <c r="AN12" s="2" t="s">
        <v>139</v>
      </c>
      <c r="AO12" s="2" t="s">
        <v>139</v>
      </c>
      <c r="AP12" s="2" t="s">
        <v>144</v>
      </c>
      <c r="AV12" s="10" t="str">
        <f t="shared" si="5"/>
        <v/>
      </c>
    </row>
    <row r="13" spans="1:54" x14ac:dyDescent="0.25">
      <c r="B13" s="2" t="s">
        <v>173</v>
      </c>
      <c r="C13" s="2" t="s">
        <v>174</v>
      </c>
      <c r="D13" s="2" t="s">
        <v>175</v>
      </c>
      <c r="E13" s="2" t="s">
        <v>143</v>
      </c>
      <c r="F13" s="2" t="str">
        <f t="shared" si="0"/>
        <v>008KENANGA INVESTMENT BANK BHD - MUARMUAR300000000</v>
      </c>
      <c r="G13" s="2" t="s">
        <v>139</v>
      </c>
      <c r="H13" s="2" t="s">
        <v>144</v>
      </c>
      <c r="J13" s="2" t="s">
        <v>173</v>
      </c>
      <c r="K13" s="2" t="s">
        <v>174</v>
      </c>
      <c r="L13" s="2" t="s">
        <v>175</v>
      </c>
      <c r="M13" s="2" t="s">
        <v>143</v>
      </c>
      <c r="N13" s="2" t="str">
        <f t="shared" si="1"/>
        <v>008KENANGA INVESTMENT BANK BHD - MUARMUAR300000000</v>
      </c>
      <c r="O13" s="2" t="s">
        <v>145</v>
      </c>
      <c r="P13" s="2" t="s">
        <v>139</v>
      </c>
      <c r="Q13" s="2" t="s">
        <v>139</v>
      </c>
      <c r="R13" s="2" t="s">
        <v>139</v>
      </c>
      <c r="S13" s="2" t="s">
        <v>144</v>
      </c>
      <c r="U13" s="2" t="s">
        <v>173</v>
      </c>
      <c r="V13" s="2" t="s">
        <v>174</v>
      </c>
      <c r="W13" s="2" t="s">
        <v>175</v>
      </c>
      <c r="X13" s="2" t="s">
        <v>143</v>
      </c>
      <c r="Y13" s="10" t="str">
        <f t="shared" si="2"/>
        <v>MUAR</v>
      </c>
      <c r="Z13" s="2" t="str">
        <f t="shared" si="3"/>
        <v>KENANGA INVESTMENT BANK BHD - MUARMUAR300000000MUAR</v>
      </c>
      <c r="AA13" s="2" t="s">
        <v>145</v>
      </c>
      <c r="AB13" s="2" t="s">
        <v>139</v>
      </c>
      <c r="AC13" s="2" t="s">
        <v>139</v>
      </c>
      <c r="AD13" s="2" t="s">
        <v>139</v>
      </c>
      <c r="AE13" s="2" t="s">
        <v>144</v>
      </c>
      <c r="AG13" s="10" t="s">
        <v>176</v>
      </c>
      <c r="AH13" s="2" t="s">
        <v>175</v>
      </c>
      <c r="AI13" s="2" t="s">
        <v>175</v>
      </c>
      <c r="AJ13" s="2" t="s">
        <v>143</v>
      </c>
      <c r="AK13" s="10" t="str">
        <f t="shared" si="4"/>
        <v>MHBOS_008MUARMUAR300000000</v>
      </c>
      <c r="AL13" s="2" t="s">
        <v>145</v>
      </c>
      <c r="AM13" s="2" t="s">
        <v>139</v>
      </c>
      <c r="AN13" s="2" t="s">
        <v>139</v>
      </c>
      <c r="AO13" s="2" t="s">
        <v>139</v>
      </c>
      <c r="AP13" s="2" t="s">
        <v>144</v>
      </c>
      <c r="AV13" s="10" t="str">
        <f t="shared" si="5"/>
        <v/>
      </c>
    </row>
    <row r="14" spans="1:54" x14ac:dyDescent="0.25">
      <c r="B14" s="2" t="s">
        <v>177</v>
      </c>
      <c r="C14" s="2" t="s">
        <v>178</v>
      </c>
      <c r="D14" s="2" t="s">
        <v>179</v>
      </c>
      <c r="E14" s="2" t="s">
        <v>143</v>
      </c>
      <c r="F14" s="2" t="str">
        <f t="shared" si="0"/>
        <v>009KENANGA INVESTMENT BANK BHD - SGTSGAMAT300000000</v>
      </c>
      <c r="G14" s="2" t="s">
        <v>139</v>
      </c>
      <c r="H14" s="2" t="s">
        <v>144</v>
      </c>
      <c r="J14" s="2" t="s">
        <v>177</v>
      </c>
      <c r="K14" s="2" t="s">
        <v>178</v>
      </c>
      <c r="L14" s="2" t="s">
        <v>179</v>
      </c>
      <c r="M14" s="2" t="s">
        <v>143</v>
      </c>
      <c r="N14" s="2" t="str">
        <f t="shared" si="1"/>
        <v>009KENANGA INVESTMENT BANK BHD - SGTSGAMAT300000000</v>
      </c>
      <c r="O14" s="2" t="s">
        <v>145</v>
      </c>
      <c r="P14" s="2" t="s">
        <v>139</v>
      </c>
      <c r="Q14" s="2" t="s">
        <v>139</v>
      </c>
      <c r="R14" s="2" t="s">
        <v>139</v>
      </c>
      <c r="S14" s="2" t="s">
        <v>144</v>
      </c>
      <c r="U14" s="2" t="s">
        <v>177</v>
      </c>
      <c r="V14" s="2" t="s">
        <v>178</v>
      </c>
      <c r="W14" s="2" t="s">
        <v>179</v>
      </c>
      <c r="X14" s="2" t="s">
        <v>143</v>
      </c>
      <c r="Y14" s="10" t="str">
        <f t="shared" si="2"/>
        <v>SGT</v>
      </c>
      <c r="Z14" s="2" t="str">
        <f t="shared" si="3"/>
        <v>KENANGA INVESTMENT BANK BHD - SGTSGAMAT300000000SGT</v>
      </c>
      <c r="AA14" s="2" t="s">
        <v>145</v>
      </c>
      <c r="AB14" s="2" t="s">
        <v>139</v>
      </c>
      <c r="AC14" s="2" t="s">
        <v>139</v>
      </c>
      <c r="AD14" s="2" t="s">
        <v>139</v>
      </c>
      <c r="AE14" s="2" t="s">
        <v>144</v>
      </c>
      <c r="AG14" s="10" t="s">
        <v>180</v>
      </c>
      <c r="AH14" s="2" t="s">
        <v>181</v>
      </c>
      <c r="AI14" s="2" t="s">
        <v>179</v>
      </c>
      <c r="AJ14" s="2" t="s">
        <v>143</v>
      </c>
      <c r="AK14" s="10" t="str">
        <f t="shared" si="4"/>
        <v>MHBOS_009SGTSGAMAT300000000</v>
      </c>
      <c r="AL14" s="2" t="s">
        <v>145</v>
      </c>
      <c r="AM14" s="2" t="s">
        <v>139</v>
      </c>
      <c r="AN14" s="2" t="s">
        <v>139</v>
      </c>
      <c r="AO14" s="2" t="s">
        <v>139</v>
      </c>
      <c r="AP14" s="2" t="s">
        <v>144</v>
      </c>
      <c r="AV14" s="10" t="str">
        <f t="shared" si="5"/>
        <v/>
      </c>
    </row>
    <row r="15" spans="1:54" x14ac:dyDescent="0.25">
      <c r="B15" s="2" t="s">
        <v>182</v>
      </c>
      <c r="C15" s="2" t="s">
        <v>183</v>
      </c>
      <c r="D15" s="2" t="s">
        <v>184</v>
      </c>
      <c r="E15" s="2" t="s">
        <v>143</v>
      </c>
      <c r="F15" s="2" t="str">
        <f t="shared" si="0"/>
        <v>010KENANGA INVESTMENT BANK BHD - KLUKLUANG300000000</v>
      </c>
      <c r="G15" s="2" t="s">
        <v>139</v>
      </c>
      <c r="H15" s="2" t="s">
        <v>144</v>
      </c>
      <c r="J15" s="2" t="s">
        <v>182</v>
      </c>
      <c r="K15" s="2" t="s">
        <v>183</v>
      </c>
      <c r="L15" s="2" t="s">
        <v>184</v>
      </c>
      <c r="M15" s="2" t="s">
        <v>143</v>
      </c>
      <c r="N15" s="2" t="str">
        <f t="shared" si="1"/>
        <v>010KENANGA INVESTMENT BANK BHD - KLUKLUANG300000000</v>
      </c>
      <c r="O15" s="2" t="s">
        <v>145</v>
      </c>
      <c r="P15" s="2" t="s">
        <v>139</v>
      </c>
      <c r="Q15" s="2" t="s">
        <v>139</v>
      </c>
      <c r="R15" s="2" t="s">
        <v>139</v>
      </c>
      <c r="S15" s="2" t="s">
        <v>144</v>
      </c>
      <c r="U15" s="2" t="s">
        <v>182</v>
      </c>
      <c r="V15" s="2" t="s">
        <v>183</v>
      </c>
      <c r="W15" s="2" t="s">
        <v>184</v>
      </c>
      <c r="X15" s="2" t="s">
        <v>143</v>
      </c>
      <c r="Y15" s="10" t="str">
        <f t="shared" si="2"/>
        <v>KLU</v>
      </c>
      <c r="Z15" s="2" t="str">
        <f t="shared" si="3"/>
        <v>KENANGA INVESTMENT BANK BHD - KLUKLUANG300000000KLU</v>
      </c>
      <c r="AA15" s="2" t="s">
        <v>145</v>
      </c>
      <c r="AB15" s="2" t="s">
        <v>139</v>
      </c>
      <c r="AC15" s="2" t="s">
        <v>139</v>
      </c>
      <c r="AD15" s="2" t="s">
        <v>139</v>
      </c>
      <c r="AE15" s="2" t="s">
        <v>144</v>
      </c>
      <c r="AG15" s="10" t="s">
        <v>185</v>
      </c>
      <c r="AH15" s="2" t="s">
        <v>186</v>
      </c>
      <c r="AI15" s="2" t="s">
        <v>184</v>
      </c>
      <c r="AJ15" s="2" t="s">
        <v>143</v>
      </c>
      <c r="AK15" s="10" t="str">
        <f t="shared" si="4"/>
        <v>MHBOS_010KLUKLUANG300000000</v>
      </c>
      <c r="AL15" s="2" t="s">
        <v>145</v>
      </c>
      <c r="AM15" s="2" t="s">
        <v>139</v>
      </c>
      <c r="AN15" s="2" t="s">
        <v>139</v>
      </c>
      <c r="AO15" s="2" t="s">
        <v>139</v>
      </c>
      <c r="AP15" s="2" t="s">
        <v>144</v>
      </c>
      <c r="AV15" s="10" t="str">
        <f t="shared" si="5"/>
        <v/>
      </c>
    </row>
    <row r="16" spans="1:54" s="6" customFormat="1" x14ac:dyDescent="0.25">
      <c r="B16" s="9" t="s">
        <v>83</v>
      </c>
      <c r="I16" s="40"/>
      <c r="J16" s="9" t="s">
        <v>187</v>
      </c>
      <c r="T16" s="40"/>
      <c r="U16" s="9" t="s">
        <v>188</v>
      </c>
      <c r="Y16" s="13"/>
      <c r="AF16" s="40"/>
      <c r="AG16" s="28" t="s">
        <v>189</v>
      </c>
      <c r="AH16" s="9"/>
      <c r="AI16" s="9"/>
      <c r="AJ16" s="9"/>
      <c r="AK16" s="28"/>
      <c r="AL16" s="9"/>
      <c r="AM16" s="9"/>
      <c r="AN16" s="9"/>
      <c r="AO16" s="9"/>
      <c r="AQ16" s="40"/>
      <c r="AR16" s="9" t="s">
        <v>83</v>
      </c>
      <c r="AV16" s="28"/>
    </row>
    <row r="17" spans="1:54" s="1" customFormat="1" x14ac:dyDescent="0.25">
      <c r="A17" s="5" t="s">
        <v>190</v>
      </c>
      <c r="B17" s="2" t="s">
        <v>140</v>
      </c>
      <c r="C17" s="2" t="s">
        <v>141</v>
      </c>
      <c r="D17" s="2" t="s">
        <v>142</v>
      </c>
      <c r="E17" s="7" t="s">
        <v>191</v>
      </c>
      <c r="F17" s="7" t="str">
        <f t="shared" si="0"/>
        <v>001KENANGA INVESTMENT BANK BHD - HQKLM400000000</v>
      </c>
      <c r="G17" s="2" t="s">
        <v>190</v>
      </c>
      <c r="H17" s="27" t="s">
        <v>192</v>
      </c>
      <c r="I17" s="40"/>
      <c r="J17" s="2" t="s">
        <v>140</v>
      </c>
      <c r="K17" s="2" t="s">
        <v>141</v>
      </c>
      <c r="L17" s="2" t="s">
        <v>142</v>
      </c>
      <c r="M17" s="7" t="s">
        <v>191</v>
      </c>
      <c r="N17" s="7" t="str">
        <f t="shared" si="1"/>
        <v>001KENANGA INVESTMENT BANK BHD - HQKLM400000000</v>
      </c>
      <c r="O17" s="2" t="s">
        <v>145</v>
      </c>
      <c r="P17" s="2" t="s">
        <v>139</v>
      </c>
      <c r="Q17" s="7" t="s">
        <v>190</v>
      </c>
      <c r="R17" s="7" t="s">
        <v>190</v>
      </c>
      <c r="S17" s="7" t="s">
        <v>192</v>
      </c>
      <c r="T17" s="40"/>
      <c r="U17" s="27" t="s">
        <v>140</v>
      </c>
      <c r="V17" s="27" t="s">
        <v>141</v>
      </c>
      <c r="W17" s="27" t="s">
        <v>142</v>
      </c>
      <c r="X17" s="7" t="s">
        <v>191</v>
      </c>
      <c r="Y17" s="10" t="str">
        <f t="shared" ref="Y17:Y26" si="6">REPLACE(V17, 1, 30, "")</f>
        <v>HQ</v>
      </c>
      <c r="Z17" s="7" t="str">
        <f t="shared" si="3"/>
        <v>KENANGA INVESTMENT BANK BHD - HQKLM400000000HQ</v>
      </c>
      <c r="AA17" s="27" t="s">
        <v>145</v>
      </c>
      <c r="AB17" s="27" t="s">
        <v>139</v>
      </c>
      <c r="AC17" s="7" t="s">
        <v>190</v>
      </c>
      <c r="AD17" s="7" t="s">
        <v>190</v>
      </c>
      <c r="AE17" s="7" t="s">
        <v>192</v>
      </c>
      <c r="AF17" s="40"/>
      <c r="AG17" s="10" t="s">
        <v>146</v>
      </c>
      <c r="AH17" s="2" t="s">
        <v>147</v>
      </c>
      <c r="AI17" s="2" t="s">
        <v>142</v>
      </c>
      <c r="AJ17" s="7" t="s">
        <v>191</v>
      </c>
      <c r="AK17" s="10" t="str">
        <f t="shared" ref="AK17:AK26" si="7">AG17&amp;AH17&amp;AI17&amp;AJ17</f>
        <v>MHBOS_001HQKLM400000000</v>
      </c>
      <c r="AL17" s="2" t="s">
        <v>145</v>
      </c>
      <c r="AM17" s="2" t="s">
        <v>139</v>
      </c>
      <c r="AN17" s="7" t="s">
        <v>190</v>
      </c>
      <c r="AO17" s="7" t="s">
        <v>190</v>
      </c>
      <c r="AP17" s="7" t="s">
        <v>192</v>
      </c>
      <c r="AQ17" s="40"/>
      <c r="AR17" s="10" t="s">
        <v>146</v>
      </c>
      <c r="AS17" s="2" t="s">
        <v>147</v>
      </c>
      <c r="AT17" s="2" t="s">
        <v>142</v>
      </c>
      <c r="AU17" s="2" t="s">
        <v>143</v>
      </c>
      <c r="AV17" s="10" t="str">
        <f>AR17&amp;AS17&amp;AT17&amp;AU17</f>
        <v>MHBOS_001HQKLM300000000</v>
      </c>
      <c r="AW17" s="2" t="s">
        <v>145</v>
      </c>
      <c r="AX17" s="2" t="s">
        <v>139</v>
      </c>
      <c r="AY17" s="2" t="s">
        <v>139</v>
      </c>
      <c r="AZ17" s="7" t="s">
        <v>190</v>
      </c>
      <c r="BA17" s="7" t="s">
        <v>192</v>
      </c>
      <c r="BB17" s="7" t="s">
        <v>193</v>
      </c>
    </row>
    <row r="18" spans="1:54" x14ac:dyDescent="0.25">
      <c r="B18" s="2" t="s">
        <v>148</v>
      </c>
      <c r="C18" s="2" t="s">
        <v>149</v>
      </c>
      <c r="D18" s="2" t="s">
        <v>150</v>
      </c>
      <c r="E18" s="2" t="s">
        <v>143</v>
      </c>
      <c r="F18" s="2" t="str">
        <f t="shared" si="0"/>
        <v>002KENANGA INVESTMENT BANK BHD - MIRIMIRI300000000</v>
      </c>
      <c r="G18" s="2" t="s">
        <v>190</v>
      </c>
      <c r="H18" s="27" t="s">
        <v>192</v>
      </c>
      <c r="J18" s="2" t="s">
        <v>148</v>
      </c>
      <c r="K18" s="2" t="s">
        <v>149</v>
      </c>
      <c r="L18" s="2" t="s">
        <v>150</v>
      </c>
      <c r="M18" s="2" t="s">
        <v>143</v>
      </c>
      <c r="N18" s="2" t="str">
        <f t="shared" si="1"/>
        <v>002KENANGA INVESTMENT BANK BHD - MIRIMIRI300000000</v>
      </c>
      <c r="O18" s="2" t="s">
        <v>145</v>
      </c>
      <c r="P18" s="2" t="s">
        <v>139</v>
      </c>
      <c r="Q18" s="2" t="s">
        <v>139</v>
      </c>
      <c r="R18" s="7" t="s">
        <v>190</v>
      </c>
      <c r="S18" s="7" t="s">
        <v>192</v>
      </c>
      <c r="U18" s="27" t="s">
        <v>148</v>
      </c>
      <c r="V18" s="27" t="s">
        <v>149</v>
      </c>
      <c r="W18" s="27" t="s">
        <v>150</v>
      </c>
      <c r="X18" s="27" t="s">
        <v>143</v>
      </c>
      <c r="Y18" s="10" t="str">
        <f t="shared" si="6"/>
        <v>MIRI</v>
      </c>
      <c r="Z18" s="2" t="str">
        <f t="shared" si="3"/>
        <v>KENANGA INVESTMENT BANK BHD - MIRIMIRI300000000MIRI</v>
      </c>
      <c r="AA18" s="27" t="s">
        <v>145</v>
      </c>
      <c r="AB18" s="27" t="s">
        <v>139</v>
      </c>
      <c r="AC18" s="27" t="s">
        <v>139</v>
      </c>
      <c r="AD18" s="7" t="s">
        <v>190</v>
      </c>
      <c r="AE18" s="7" t="s">
        <v>192</v>
      </c>
      <c r="AG18" s="10" t="s">
        <v>151</v>
      </c>
      <c r="AH18" s="2" t="s">
        <v>150</v>
      </c>
      <c r="AI18" s="2" t="s">
        <v>150</v>
      </c>
      <c r="AJ18" s="2" t="s">
        <v>143</v>
      </c>
      <c r="AK18" s="10" t="str">
        <f t="shared" si="7"/>
        <v>MHBOS_002MIRIMIRI300000000</v>
      </c>
      <c r="AL18" s="2" t="s">
        <v>145</v>
      </c>
      <c r="AM18" s="2" t="s">
        <v>139</v>
      </c>
      <c r="AN18" s="2" t="s">
        <v>139</v>
      </c>
      <c r="AO18" s="7" t="s">
        <v>190</v>
      </c>
      <c r="AP18" s="7" t="s">
        <v>192</v>
      </c>
      <c r="AR18" s="10" t="s">
        <v>185</v>
      </c>
      <c r="AS18" s="2" t="s">
        <v>186</v>
      </c>
      <c r="AT18" s="2" t="s">
        <v>184</v>
      </c>
      <c r="AU18" s="2" t="s">
        <v>143</v>
      </c>
      <c r="AV18" s="10" t="str">
        <f t="shared" ref="AV18:AV26" si="8">AR18&amp;AS18&amp;AT18&amp;AU18</f>
        <v>MHBOS_010KLUKLUANG300000000</v>
      </c>
      <c r="AW18" s="2" t="s">
        <v>145</v>
      </c>
      <c r="AX18" s="2" t="s">
        <v>139</v>
      </c>
      <c r="AY18" s="2" t="s">
        <v>139</v>
      </c>
      <c r="AZ18" s="7" t="s">
        <v>190</v>
      </c>
      <c r="BA18" s="7" t="s">
        <v>192</v>
      </c>
      <c r="BB18" s="7" t="s">
        <v>193</v>
      </c>
    </row>
    <row r="19" spans="1:54" x14ac:dyDescent="0.25">
      <c r="B19" s="2" t="s">
        <v>152</v>
      </c>
      <c r="C19" s="2" t="s">
        <v>153</v>
      </c>
      <c r="D19" s="2" t="s">
        <v>154</v>
      </c>
      <c r="E19" s="2" t="s">
        <v>143</v>
      </c>
      <c r="F19" s="2" t="str">
        <f t="shared" si="0"/>
        <v>003KENANGA INVESTMENT BANK BHD - KUCKUC300000000</v>
      </c>
      <c r="G19" s="2" t="s">
        <v>190</v>
      </c>
      <c r="H19" s="27" t="s">
        <v>192</v>
      </c>
      <c r="J19" s="2" t="s">
        <v>152</v>
      </c>
      <c r="K19" s="2" t="s">
        <v>153</v>
      </c>
      <c r="L19" s="2" t="s">
        <v>154</v>
      </c>
      <c r="M19" s="2" t="s">
        <v>143</v>
      </c>
      <c r="N19" s="2" t="str">
        <f t="shared" si="1"/>
        <v>003KENANGA INVESTMENT BANK BHD - KUCKUC300000000</v>
      </c>
      <c r="O19" s="2" t="s">
        <v>145</v>
      </c>
      <c r="P19" s="2" t="s">
        <v>139</v>
      </c>
      <c r="Q19" s="2" t="s">
        <v>139</v>
      </c>
      <c r="R19" s="7" t="s">
        <v>190</v>
      </c>
      <c r="S19" s="7" t="s">
        <v>192</v>
      </c>
      <c r="U19" s="27" t="s">
        <v>152</v>
      </c>
      <c r="V19" s="27" t="s">
        <v>153</v>
      </c>
      <c r="W19" s="27" t="s">
        <v>154</v>
      </c>
      <c r="X19" s="27" t="s">
        <v>143</v>
      </c>
      <c r="Y19" s="10" t="str">
        <f t="shared" si="6"/>
        <v>KUC</v>
      </c>
      <c r="Z19" s="2" t="str">
        <f t="shared" si="3"/>
        <v>KENANGA INVESTMENT BANK BHD - KUCKUC300000000KUC</v>
      </c>
      <c r="AA19" s="27" t="s">
        <v>145</v>
      </c>
      <c r="AB19" s="27" t="s">
        <v>139</v>
      </c>
      <c r="AC19" s="27" t="s">
        <v>139</v>
      </c>
      <c r="AD19" s="7" t="s">
        <v>190</v>
      </c>
      <c r="AE19" s="7" t="s">
        <v>192</v>
      </c>
      <c r="AG19" s="10" t="s">
        <v>155</v>
      </c>
      <c r="AH19" s="2" t="s">
        <v>154</v>
      </c>
      <c r="AI19" s="2" t="s">
        <v>154</v>
      </c>
      <c r="AJ19" s="2" t="s">
        <v>143</v>
      </c>
      <c r="AK19" s="10" t="str">
        <f t="shared" si="7"/>
        <v>MHBOS_003KUCKUC300000000</v>
      </c>
      <c r="AL19" s="2" t="s">
        <v>145</v>
      </c>
      <c r="AM19" s="2" t="s">
        <v>139</v>
      </c>
      <c r="AN19" s="2" t="s">
        <v>139</v>
      </c>
      <c r="AO19" s="7" t="s">
        <v>190</v>
      </c>
      <c r="AP19" s="7" t="s">
        <v>192</v>
      </c>
      <c r="AV19" s="10" t="str">
        <f t="shared" si="8"/>
        <v/>
      </c>
    </row>
    <row r="20" spans="1:54" x14ac:dyDescent="0.25">
      <c r="B20" s="2" t="s">
        <v>156</v>
      </c>
      <c r="C20" s="2" t="s">
        <v>157</v>
      </c>
      <c r="D20" s="2" t="s">
        <v>158</v>
      </c>
      <c r="E20" s="2" t="s">
        <v>143</v>
      </c>
      <c r="F20" s="2" t="str">
        <f t="shared" si="0"/>
        <v>004KENANGA INVESTMENT BANK BHD - JBJB300000000</v>
      </c>
      <c r="G20" s="2" t="s">
        <v>190</v>
      </c>
      <c r="H20" s="27" t="s">
        <v>192</v>
      </c>
      <c r="J20" s="2" t="s">
        <v>156</v>
      </c>
      <c r="K20" s="2" t="s">
        <v>157</v>
      </c>
      <c r="L20" s="2" t="s">
        <v>158</v>
      </c>
      <c r="M20" s="2" t="s">
        <v>143</v>
      </c>
      <c r="N20" s="2" t="str">
        <f t="shared" si="1"/>
        <v>004KENANGA INVESTMENT BANK BHD - JBJB300000000</v>
      </c>
      <c r="O20" s="2" t="s">
        <v>145</v>
      </c>
      <c r="P20" s="2" t="s">
        <v>139</v>
      </c>
      <c r="Q20" s="2" t="s">
        <v>139</v>
      </c>
      <c r="R20" s="7" t="s">
        <v>190</v>
      </c>
      <c r="S20" s="7" t="s">
        <v>192</v>
      </c>
      <c r="U20" s="27" t="s">
        <v>156</v>
      </c>
      <c r="V20" s="27" t="s">
        <v>157</v>
      </c>
      <c r="W20" s="27" t="s">
        <v>158</v>
      </c>
      <c r="X20" s="27" t="s">
        <v>143</v>
      </c>
      <c r="Y20" s="10" t="str">
        <f t="shared" si="6"/>
        <v>JB</v>
      </c>
      <c r="Z20" s="2" t="str">
        <f t="shared" si="3"/>
        <v>KENANGA INVESTMENT BANK BHD - JBJB300000000JB</v>
      </c>
      <c r="AA20" s="27" t="s">
        <v>145</v>
      </c>
      <c r="AB20" s="27" t="s">
        <v>139</v>
      </c>
      <c r="AC20" s="27" t="s">
        <v>139</v>
      </c>
      <c r="AD20" s="7" t="s">
        <v>190</v>
      </c>
      <c r="AE20" s="7" t="s">
        <v>192</v>
      </c>
      <c r="AG20" s="10" t="s">
        <v>159</v>
      </c>
      <c r="AH20" s="2" t="s">
        <v>158</v>
      </c>
      <c r="AI20" s="2" t="s">
        <v>158</v>
      </c>
      <c r="AJ20" s="2" t="s">
        <v>143</v>
      </c>
      <c r="AK20" s="10" t="str">
        <f t="shared" si="7"/>
        <v>MHBOS_004JBJB300000000</v>
      </c>
      <c r="AL20" s="2" t="s">
        <v>145</v>
      </c>
      <c r="AM20" s="2" t="s">
        <v>139</v>
      </c>
      <c r="AN20" s="2" t="s">
        <v>139</v>
      </c>
      <c r="AO20" s="7" t="s">
        <v>190</v>
      </c>
      <c r="AP20" s="7" t="s">
        <v>192</v>
      </c>
      <c r="AV20" s="10" t="str">
        <f t="shared" si="8"/>
        <v/>
      </c>
    </row>
    <row r="21" spans="1:54" x14ac:dyDescent="0.25">
      <c r="B21" s="2" t="s">
        <v>160</v>
      </c>
      <c r="C21" s="2" t="s">
        <v>161</v>
      </c>
      <c r="D21" s="2" t="s">
        <v>162</v>
      </c>
      <c r="E21" s="2" t="s">
        <v>143</v>
      </c>
      <c r="F21" s="2" t="str">
        <f t="shared" si="0"/>
        <v>005KENANGA INVESTMENT BANK BHD - PJPJ300000000</v>
      </c>
      <c r="G21" s="2" t="s">
        <v>190</v>
      </c>
      <c r="H21" s="27" t="s">
        <v>192</v>
      </c>
      <c r="J21" s="2" t="s">
        <v>160</v>
      </c>
      <c r="K21" s="2" t="s">
        <v>161</v>
      </c>
      <c r="L21" s="2" t="s">
        <v>162</v>
      </c>
      <c r="M21" s="2" t="s">
        <v>143</v>
      </c>
      <c r="N21" s="2" t="str">
        <f t="shared" si="1"/>
        <v>005KENANGA INVESTMENT BANK BHD - PJPJ300000000</v>
      </c>
      <c r="O21" s="2" t="s">
        <v>145</v>
      </c>
      <c r="P21" s="2" t="s">
        <v>139</v>
      </c>
      <c r="Q21" s="2" t="s">
        <v>139</v>
      </c>
      <c r="R21" s="7" t="s">
        <v>190</v>
      </c>
      <c r="S21" s="7" t="s">
        <v>192</v>
      </c>
      <c r="U21" s="27" t="s">
        <v>160</v>
      </c>
      <c r="V21" s="27" t="s">
        <v>161</v>
      </c>
      <c r="W21" s="27" t="s">
        <v>162</v>
      </c>
      <c r="X21" s="27" t="s">
        <v>143</v>
      </c>
      <c r="Y21" s="10" t="str">
        <f t="shared" si="6"/>
        <v>PJ</v>
      </c>
      <c r="Z21" s="2" t="str">
        <f t="shared" si="3"/>
        <v>KENANGA INVESTMENT BANK BHD - PJPJ300000000PJ</v>
      </c>
      <c r="AA21" s="27" t="s">
        <v>145</v>
      </c>
      <c r="AB21" s="27" t="s">
        <v>139</v>
      </c>
      <c r="AC21" s="27" t="s">
        <v>139</v>
      </c>
      <c r="AD21" s="7" t="s">
        <v>190</v>
      </c>
      <c r="AE21" s="7" t="s">
        <v>192</v>
      </c>
      <c r="AG21" s="10" t="s">
        <v>163</v>
      </c>
      <c r="AH21" s="2" t="s">
        <v>162</v>
      </c>
      <c r="AI21" s="2" t="s">
        <v>162</v>
      </c>
      <c r="AJ21" s="2" t="s">
        <v>143</v>
      </c>
      <c r="AK21" s="10" t="str">
        <f t="shared" si="7"/>
        <v>MHBOS_005PJPJ300000000</v>
      </c>
      <c r="AL21" s="2" t="s">
        <v>145</v>
      </c>
      <c r="AM21" s="2" t="s">
        <v>139</v>
      </c>
      <c r="AN21" s="2" t="s">
        <v>139</v>
      </c>
      <c r="AO21" s="7" t="s">
        <v>190</v>
      </c>
      <c r="AP21" s="7" t="s">
        <v>192</v>
      </c>
      <c r="AV21" s="10" t="str">
        <f t="shared" si="8"/>
        <v/>
      </c>
    </row>
    <row r="22" spans="1:54" x14ac:dyDescent="0.25">
      <c r="B22" s="2" t="s">
        <v>164</v>
      </c>
      <c r="C22" s="2" t="s">
        <v>165</v>
      </c>
      <c r="D22" s="2" t="s">
        <v>166</v>
      </c>
      <c r="E22" s="2" t="s">
        <v>143</v>
      </c>
      <c r="F22" s="2" t="str">
        <f t="shared" si="0"/>
        <v>006KENANGA INVESTMENT BANK BHD - USJUSJ300000000</v>
      </c>
      <c r="G22" s="2" t="s">
        <v>190</v>
      </c>
      <c r="H22" s="27" t="s">
        <v>192</v>
      </c>
      <c r="J22" s="2" t="s">
        <v>164</v>
      </c>
      <c r="K22" s="2" t="s">
        <v>165</v>
      </c>
      <c r="L22" s="2" t="s">
        <v>166</v>
      </c>
      <c r="M22" s="2" t="s">
        <v>143</v>
      </c>
      <c r="N22" s="2" t="str">
        <f t="shared" si="1"/>
        <v>006KENANGA INVESTMENT BANK BHD - USJUSJ300000000</v>
      </c>
      <c r="O22" s="2" t="s">
        <v>145</v>
      </c>
      <c r="P22" s="2" t="s">
        <v>139</v>
      </c>
      <c r="Q22" s="2" t="s">
        <v>139</v>
      </c>
      <c r="R22" s="7" t="s">
        <v>190</v>
      </c>
      <c r="S22" s="7" t="s">
        <v>192</v>
      </c>
      <c r="U22" s="27" t="s">
        <v>164</v>
      </c>
      <c r="V22" s="27" t="s">
        <v>165</v>
      </c>
      <c r="W22" s="27" t="s">
        <v>166</v>
      </c>
      <c r="X22" s="27" t="s">
        <v>143</v>
      </c>
      <c r="Y22" s="10" t="str">
        <f t="shared" si="6"/>
        <v>USJ</v>
      </c>
      <c r="Z22" s="2" t="str">
        <f t="shared" si="3"/>
        <v>KENANGA INVESTMENT BANK BHD - USJUSJ300000000USJ</v>
      </c>
      <c r="AA22" s="27" t="s">
        <v>145</v>
      </c>
      <c r="AB22" s="27" t="s">
        <v>139</v>
      </c>
      <c r="AC22" s="27" t="s">
        <v>139</v>
      </c>
      <c r="AD22" s="7" t="s">
        <v>190</v>
      </c>
      <c r="AE22" s="7" t="s">
        <v>192</v>
      </c>
      <c r="AG22" s="10" t="s">
        <v>167</v>
      </c>
      <c r="AH22" s="2" t="s">
        <v>166</v>
      </c>
      <c r="AI22" s="2" t="s">
        <v>166</v>
      </c>
      <c r="AJ22" s="2" t="s">
        <v>143</v>
      </c>
      <c r="AK22" s="10" t="str">
        <f t="shared" si="7"/>
        <v>MHBOS_006USJUSJ300000000</v>
      </c>
      <c r="AL22" s="2" t="s">
        <v>145</v>
      </c>
      <c r="AM22" s="2" t="s">
        <v>139</v>
      </c>
      <c r="AN22" s="2" t="s">
        <v>139</v>
      </c>
      <c r="AO22" s="7" t="s">
        <v>190</v>
      </c>
      <c r="AP22" s="7" t="s">
        <v>192</v>
      </c>
      <c r="AV22" s="10" t="str">
        <f t="shared" si="8"/>
        <v/>
      </c>
    </row>
    <row r="23" spans="1:54" x14ac:dyDescent="0.25">
      <c r="B23" s="2" t="s">
        <v>168</v>
      </c>
      <c r="C23" s="2" t="s">
        <v>169</v>
      </c>
      <c r="D23" s="2" t="s">
        <v>170</v>
      </c>
      <c r="E23" s="2" t="s">
        <v>143</v>
      </c>
      <c r="F23" s="2" t="str">
        <f t="shared" si="0"/>
        <v>007KENANGA INVESTMENT BANK BHD - KLGKLANG300000000</v>
      </c>
      <c r="G23" s="2" t="s">
        <v>190</v>
      </c>
      <c r="H23" s="27" t="s">
        <v>192</v>
      </c>
      <c r="J23" s="2" t="s">
        <v>168</v>
      </c>
      <c r="K23" s="2" t="s">
        <v>169</v>
      </c>
      <c r="L23" s="2" t="s">
        <v>170</v>
      </c>
      <c r="M23" s="2" t="s">
        <v>143</v>
      </c>
      <c r="N23" s="2" t="str">
        <f t="shared" si="1"/>
        <v>007KENANGA INVESTMENT BANK BHD - KLGKLANG300000000</v>
      </c>
      <c r="O23" s="2" t="s">
        <v>145</v>
      </c>
      <c r="P23" s="2" t="s">
        <v>139</v>
      </c>
      <c r="Q23" s="2" t="s">
        <v>139</v>
      </c>
      <c r="R23" s="7" t="s">
        <v>190</v>
      </c>
      <c r="S23" s="7" t="s">
        <v>192</v>
      </c>
      <c r="U23" s="27" t="s">
        <v>168</v>
      </c>
      <c r="V23" s="27" t="s">
        <v>169</v>
      </c>
      <c r="W23" s="27" t="s">
        <v>170</v>
      </c>
      <c r="X23" s="27" t="s">
        <v>143</v>
      </c>
      <c r="Y23" s="10" t="str">
        <f t="shared" si="6"/>
        <v>KLG</v>
      </c>
      <c r="Z23" s="2" t="str">
        <f t="shared" si="3"/>
        <v>KENANGA INVESTMENT BANK BHD - KLGKLANG300000000KLG</v>
      </c>
      <c r="AA23" s="27" t="s">
        <v>145</v>
      </c>
      <c r="AB23" s="27" t="s">
        <v>139</v>
      </c>
      <c r="AC23" s="27" t="s">
        <v>139</v>
      </c>
      <c r="AD23" s="7" t="s">
        <v>190</v>
      </c>
      <c r="AE23" s="7" t="s">
        <v>192</v>
      </c>
      <c r="AG23" s="10" t="s">
        <v>171</v>
      </c>
      <c r="AH23" s="2" t="s">
        <v>172</v>
      </c>
      <c r="AI23" s="2" t="s">
        <v>170</v>
      </c>
      <c r="AJ23" s="2" t="s">
        <v>143</v>
      </c>
      <c r="AK23" s="10" t="str">
        <f t="shared" si="7"/>
        <v>MHBOS_007KLGKLANG300000000</v>
      </c>
      <c r="AL23" s="2" t="s">
        <v>145</v>
      </c>
      <c r="AM23" s="2" t="s">
        <v>139</v>
      </c>
      <c r="AN23" s="2" t="s">
        <v>139</v>
      </c>
      <c r="AO23" s="7" t="s">
        <v>190</v>
      </c>
      <c r="AP23" s="7" t="s">
        <v>192</v>
      </c>
      <c r="AV23" s="10" t="str">
        <f t="shared" si="8"/>
        <v/>
      </c>
    </row>
    <row r="24" spans="1:54" x14ac:dyDescent="0.25">
      <c r="B24" s="2" t="s">
        <v>173</v>
      </c>
      <c r="C24" s="2" t="s">
        <v>174</v>
      </c>
      <c r="D24" s="2" t="s">
        <v>175</v>
      </c>
      <c r="E24" s="2" t="s">
        <v>143</v>
      </c>
      <c r="F24" s="2" t="str">
        <f t="shared" si="0"/>
        <v>008KENANGA INVESTMENT BANK BHD - MUARMUAR300000000</v>
      </c>
      <c r="G24" s="2" t="s">
        <v>190</v>
      </c>
      <c r="H24" s="27" t="s">
        <v>192</v>
      </c>
      <c r="J24" s="2" t="s">
        <v>173</v>
      </c>
      <c r="K24" s="2" t="s">
        <v>174</v>
      </c>
      <c r="L24" s="2" t="s">
        <v>175</v>
      </c>
      <c r="M24" s="2" t="s">
        <v>143</v>
      </c>
      <c r="N24" s="2" t="str">
        <f t="shared" si="1"/>
        <v>008KENANGA INVESTMENT BANK BHD - MUARMUAR300000000</v>
      </c>
      <c r="O24" s="2" t="s">
        <v>145</v>
      </c>
      <c r="P24" s="2" t="s">
        <v>139</v>
      </c>
      <c r="Q24" s="2" t="s">
        <v>139</v>
      </c>
      <c r="R24" s="7" t="s">
        <v>190</v>
      </c>
      <c r="S24" s="7" t="s">
        <v>192</v>
      </c>
      <c r="U24" s="27" t="s">
        <v>173</v>
      </c>
      <c r="V24" s="27" t="s">
        <v>174</v>
      </c>
      <c r="W24" s="27" t="s">
        <v>175</v>
      </c>
      <c r="X24" s="27" t="s">
        <v>143</v>
      </c>
      <c r="Y24" s="10" t="str">
        <f t="shared" si="6"/>
        <v>MUAR</v>
      </c>
      <c r="Z24" s="2" t="str">
        <f t="shared" si="3"/>
        <v>KENANGA INVESTMENT BANK BHD - MUARMUAR300000000MUAR</v>
      </c>
      <c r="AA24" s="27" t="s">
        <v>145</v>
      </c>
      <c r="AB24" s="27" t="s">
        <v>139</v>
      </c>
      <c r="AC24" s="27" t="s">
        <v>139</v>
      </c>
      <c r="AD24" s="7" t="s">
        <v>190</v>
      </c>
      <c r="AE24" s="7" t="s">
        <v>192</v>
      </c>
      <c r="AG24" s="10" t="s">
        <v>176</v>
      </c>
      <c r="AH24" s="2" t="s">
        <v>175</v>
      </c>
      <c r="AI24" s="2" t="s">
        <v>175</v>
      </c>
      <c r="AJ24" s="2" t="s">
        <v>143</v>
      </c>
      <c r="AK24" s="10" t="str">
        <f t="shared" si="7"/>
        <v>MHBOS_008MUARMUAR300000000</v>
      </c>
      <c r="AL24" s="2" t="s">
        <v>145</v>
      </c>
      <c r="AM24" s="2" t="s">
        <v>139</v>
      </c>
      <c r="AN24" s="2" t="s">
        <v>139</v>
      </c>
      <c r="AO24" s="7" t="s">
        <v>190</v>
      </c>
      <c r="AP24" s="7" t="s">
        <v>192</v>
      </c>
      <c r="AV24" s="10" t="str">
        <f t="shared" si="8"/>
        <v/>
      </c>
    </row>
    <row r="25" spans="1:54" x14ac:dyDescent="0.25">
      <c r="B25" s="2" t="s">
        <v>177</v>
      </c>
      <c r="C25" s="2" t="s">
        <v>178</v>
      </c>
      <c r="D25" s="2" t="s">
        <v>179</v>
      </c>
      <c r="E25" s="2" t="s">
        <v>143</v>
      </c>
      <c r="F25" s="2" t="str">
        <f t="shared" si="0"/>
        <v>009KENANGA INVESTMENT BANK BHD - SGTSGAMAT300000000</v>
      </c>
      <c r="G25" s="2" t="s">
        <v>190</v>
      </c>
      <c r="H25" s="27" t="s">
        <v>192</v>
      </c>
      <c r="J25" s="2" t="s">
        <v>177</v>
      </c>
      <c r="K25" s="2" t="s">
        <v>178</v>
      </c>
      <c r="L25" s="2" t="s">
        <v>179</v>
      </c>
      <c r="M25" s="2" t="s">
        <v>143</v>
      </c>
      <c r="N25" s="2" t="str">
        <f t="shared" si="1"/>
        <v>009KENANGA INVESTMENT BANK BHD - SGTSGAMAT300000000</v>
      </c>
      <c r="O25" s="2" t="s">
        <v>145</v>
      </c>
      <c r="P25" s="2" t="s">
        <v>139</v>
      </c>
      <c r="Q25" s="2" t="s">
        <v>139</v>
      </c>
      <c r="R25" s="7" t="s">
        <v>190</v>
      </c>
      <c r="S25" s="7" t="s">
        <v>192</v>
      </c>
      <c r="U25" s="27" t="s">
        <v>177</v>
      </c>
      <c r="V25" s="27" t="s">
        <v>178</v>
      </c>
      <c r="W25" s="27" t="s">
        <v>179</v>
      </c>
      <c r="X25" s="27" t="s">
        <v>143</v>
      </c>
      <c r="Y25" s="10" t="str">
        <f t="shared" si="6"/>
        <v>SGT</v>
      </c>
      <c r="Z25" s="2" t="str">
        <f t="shared" si="3"/>
        <v>KENANGA INVESTMENT BANK BHD - SGTSGAMAT300000000SGT</v>
      </c>
      <c r="AA25" s="27" t="s">
        <v>145</v>
      </c>
      <c r="AB25" s="27" t="s">
        <v>139</v>
      </c>
      <c r="AC25" s="27" t="s">
        <v>139</v>
      </c>
      <c r="AD25" s="7" t="s">
        <v>190</v>
      </c>
      <c r="AE25" s="7" t="s">
        <v>192</v>
      </c>
      <c r="AG25" s="10" t="s">
        <v>180</v>
      </c>
      <c r="AH25" s="2" t="s">
        <v>181</v>
      </c>
      <c r="AI25" s="2" t="s">
        <v>179</v>
      </c>
      <c r="AJ25" s="2" t="s">
        <v>143</v>
      </c>
      <c r="AK25" s="10" t="str">
        <f t="shared" si="7"/>
        <v>MHBOS_009SGTSGAMAT300000000</v>
      </c>
      <c r="AL25" s="2" t="s">
        <v>145</v>
      </c>
      <c r="AM25" s="2" t="s">
        <v>139</v>
      </c>
      <c r="AN25" s="2" t="s">
        <v>139</v>
      </c>
      <c r="AO25" s="7" t="s">
        <v>190</v>
      </c>
      <c r="AP25" s="7" t="s">
        <v>192</v>
      </c>
      <c r="AV25" s="10" t="str">
        <f t="shared" si="8"/>
        <v/>
      </c>
    </row>
    <row r="26" spans="1:54" x14ac:dyDescent="0.25">
      <c r="B26" s="8"/>
      <c r="C26" s="8"/>
      <c r="D26" s="8"/>
      <c r="E26" s="8"/>
      <c r="F26" s="34"/>
      <c r="G26" s="8"/>
      <c r="H26" s="7"/>
      <c r="J26" s="7" t="s">
        <v>182</v>
      </c>
      <c r="K26" s="7" t="s">
        <v>183</v>
      </c>
      <c r="L26" s="7" t="s">
        <v>184</v>
      </c>
      <c r="M26" s="7" t="s">
        <v>143</v>
      </c>
      <c r="N26" s="7" t="str">
        <f t="shared" si="1"/>
        <v>010KENANGA INVESTMENT BANK BHD - KLUKLUANG300000000</v>
      </c>
      <c r="O26" s="7" t="s">
        <v>194</v>
      </c>
      <c r="P26" s="7" t="s">
        <v>139</v>
      </c>
      <c r="Q26" s="7" t="s">
        <v>190</v>
      </c>
      <c r="R26" s="7" t="s">
        <v>190</v>
      </c>
      <c r="S26" s="7" t="s">
        <v>192</v>
      </c>
      <c r="U26" s="7" t="s">
        <v>182</v>
      </c>
      <c r="V26" s="7" t="s">
        <v>183</v>
      </c>
      <c r="W26" s="7" t="s">
        <v>184</v>
      </c>
      <c r="X26" s="7" t="s">
        <v>143</v>
      </c>
      <c r="Y26" s="14" t="str">
        <f t="shared" si="6"/>
        <v>KLU</v>
      </c>
      <c r="Z26" s="7" t="str">
        <f t="shared" si="3"/>
        <v>KENANGA INVESTMENT BANK BHD - KLUKLUANG300000000KLU</v>
      </c>
      <c r="AA26" s="7" t="s">
        <v>194</v>
      </c>
      <c r="AB26" s="7" t="s">
        <v>139</v>
      </c>
      <c r="AC26" s="7" t="s">
        <v>190</v>
      </c>
      <c r="AD26" s="7" t="s">
        <v>190</v>
      </c>
      <c r="AE26" s="7" t="s">
        <v>192</v>
      </c>
      <c r="AG26" s="10" t="s">
        <v>185</v>
      </c>
      <c r="AH26" s="2" t="s">
        <v>186</v>
      </c>
      <c r="AI26" s="2" t="s">
        <v>184</v>
      </c>
      <c r="AJ26" s="2" t="s">
        <v>143</v>
      </c>
      <c r="AK26" s="10" t="str">
        <f t="shared" si="7"/>
        <v>MHBOS_010KLUKLUANG300000000</v>
      </c>
      <c r="AL26" s="7" t="s">
        <v>194</v>
      </c>
      <c r="AM26" s="2" t="s">
        <v>139</v>
      </c>
      <c r="AN26" s="7" t="s">
        <v>190</v>
      </c>
      <c r="AO26" s="7" t="s">
        <v>190</v>
      </c>
      <c r="AP26" s="7" t="s">
        <v>192</v>
      </c>
      <c r="AV26" s="10" t="str">
        <f t="shared" si="8"/>
        <v/>
      </c>
    </row>
  </sheetData>
  <mergeCells count="4">
    <mergeCell ref="R4:S4"/>
    <mergeCell ref="AD4:AE4"/>
    <mergeCell ref="AO4:AP4"/>
    <mergeCell ref="AR4:AY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Z26"/>
  <sheetViews>
    <sheetView zoomScale="85" zoomScaleNormal="85" workbookViewId="0">
      <pane ySplit="5" topLeftCell="A21" activePane="bottomLeft" state="frozen"/>
      <selection pane="bottomLeft" activeCell="AQ21" sqref="AQ21"/>
    </sheetView>
  </sheetViews>
  <sheetFormatPr defaultColWidth="8.85546875" defaultRowHeight="15" customHeight="1" x14ac:dyDescent="0.25"/>
  <cols>
    <col min="1" max="1" width="9.5703125" style="2" customWidth="1"/>
    <col min="2" max="2" width="11.7109375" style="2" bestFit="1" customWidth="1"/>
    <col min="3" max="3" width="38" style="2" bestFit="1" customWidth="1"/>
    <col min="4" max="4" width="18.7109375" style="2" bestFit="1" customWidth="1"/>
    <col min="5" max="5" width="10" style="2" bestFit="1" customWidth="1"/>
    <col min="6" max="6" width="11.7109375" style="2" bestFit="1" customWidth="1"/>
    <col min="7" max="7" width="15" style="2" bestFit="1" customWidth="1"/>
    <col min="8" max="8" width="3.85546875" style="40" customWidth="1"/>
    <col min="9" max="9" width="9.42578125" style="2" bestFit="1" customWidth="1"/>
    <col min="10" max="10" width="38" style="2" bestFit="1" customWidth="1"/>
    <col min="11" max="11" width="18.7109375" style="2" bestFit="1" customWidth="1"/>
    <col min="12" max="12" width="10" style="2" bestFit="1" customWidth="1"/>
    <col min="13" max="13" width="13.28515625" style="2" bestFit="1" customWidth="1"/>
    <col min="14" max="14" width="19.5703125" style="2" bestFit="1" customWidth="1"/>
    <col min="15" max="15" width="20.28515625" style="2" bestFit="1" customWidth="1"/>
    <col min="16" max="17" width="15.140625" style="2" customWidth="1"/>
    <col min="18" max="18" width="3.85546875" style="40" customWidth="1"/>
    <col min="19" max="19" width="9.42578125" style="2" bestFit="1" customWidth="1"/>
    <col min="20" max="20" width="38" style="2" bestFit="1" customWidth="1"/>
    <col min="21" max="21" width="18.7109375" style="2" bestFit="1" customWidth="1"/>
    <col min="22" max="22" width="10" style="2" bestFit="1" customWidth="1"/>
    <col min="23" max="23" width="24.42578125" style="10" bestFit="1" customWidth="1"/>
    <col min="24" max="24" width="20.7109375" style="10" customWidth="1"/>
    <col min="25" max="25" width="13.28515625" style="2" bestFit="1" customWidth="1"/>
    <col min="26" max="27" width="13.28515625" style="2" customWidth="1"/>
    <col min="28" max="28" width="11.7109375" style="2" customWidth="1"/>
    <col min="29" max="29" width="15" style="2" bestFit="1" customWidth="1"/>
    <col min="30" max="30" width="3.85546875" style="40" customWidth="1"/>
    <col min="31" max="31" width="12.7109375" style="10" customWidth="1"/>
    <col min="32" max="32" width="14.42578125" style="2" customWidth="1"/>
    <col min="33" max="33" width="18.7109375" style="2" bestFit="1" customWidth="1"/>
    <col min="34" max="34" width="10" style="2" bestFit="1" customWidth="1"/>
    <col min="35" max="35" width="18.28515625" style="10" customWidth="1"/>
    <col min="36" max="36" width="13.28515625" style="2" bestFit="1" customWidth="1"/>
    <col min="37" max="37" width="19.5703125" style="2" bestFit="1" customWidth="1"/>
    <col min="38" max="38" width="20.42578125" style="2" bestFit="1" customWidth="1"/>
    <col min="39" max="39" width="10.7109375" style="2" customWidth="1"/>
    <col min="40" max="40" width="15" style="2" bestFit="1" customWidth="1"/>
    <col min="41" max="41" width="3.85546875" style="40" customWidth="1"/>
    <col min="42" max="42" width="11.7109375" style="2" bestFit="1" customWidth="1"/>
    <col min="43" max="43" width="22.140625" style="2" customWidth="1"/>
    <col min="44" max="44" width="18.7109375" style="2" bestFit="1" customWidth="1"/>
    <col min="45" max="45" width="10" style="2" bestFit="1" customWidth="1"/>
    <col min="46" max="46" width="21.85546875" style="10" customWidth="1"/>
    <col min="47" max="47" width="13.28515625" style="2" bestFit="1" customWidth="1"/>
    <col min="48" max="48" width="19.5703125" style="2" bestFit="1" customWidth="1"/>
    <col min="49" max="49" width="20.28515625" style="2" bestFit="1" customWidth="1"/>
    <col min="50" max="50" width="8.85546875" style="2"/>
    <col min="51" max="51" width="15" style="2" bestFit="1" customWidth="1"/>
    <col min="52" max="52" width="15.85546875" style="2" customWidth="1"/>
    <col min="53" max="16384" width="8.85546875" style="2"/>
  </cols>
  <sheetData>
    <row r="2" spans="1:52" s="3" customFormat="1" x14ac:dyDescent="0.25">
      <c r="A2" s="3" t="s">
        <v>115</v>
      </c>
      <c r="H2" s="39"/>
      <c r="R2" s="39"/>
      <c r="W2" s="11"/>
      <c r="X2" s="11"/>
      <c r="AD2" s="39"/>
      <c r="AE2" s="11"/>
      <c r="AI2" s="11"/>
      <c r="AO2" s="39"/>
      <c r="AT2" s="11"/>
    </row>
    <row r="3" spans="1:52" s="1" customFormat="1" x14ac:dyDescent="0.25">
      <c r="B3" s="1" t="s">
        <v>57</v>
      </c>
      <c r="H3" s="39"/>
      <c r="I3" s="1" t="s">
        <v>58</v>
      </c>
      <c r="R3" s="39"/>
      <c r="S3" s="1" t="s">
        <v>35</v>
      </c>
      <c r="W3" s="12"/>
      <c r="X3" s="12"/>
      <c r="AD3" s="39"/>
      <c r="AE3" s="12" t="s">
        <v>43</v>
      </c>
      <c r="AI3" s="12"/>
      <c r="AO3" s="39"/>
      <c r="AP3" s="1" t="s">
        <v>116</v>
      </c>
      <c r="AT3" s="12"/>
    </row>
    <row r="4" spans="1:52" s="1" customFormat="1" ht="75" x14ac:dyDescent="0.25">
      <c r="F4" s="1" t="s">
        <v>118</v>
      </c>
      <c r="H4" s="39"/>
      <c r="I4" s="26" t="s">
        <v>119</v>
      </c>
      <c r="N4" s="26" t="s">
        <v>121</v>
      </c>
      <c r="O4" s="26" t="s">
        <v>122</v>
      </c>
      <c r="P4" s="97" t="s">
        <v>123</v>
      </c>
      <c r="Q4" s="97"/>
      <c r="R4" s="39"/>
      <c r="S4" s="26" t="s">
        <v>119</v>
      </c>
      <c r="W4" s="12"/>
      <c r="X4" s="15" t="s">
        <v>124</v>
      </c>
      <c r="Z4" s="26" t="s">
        <v>121</v>
      </c>
      <c r="AA4" s="26" t="s">
        <v>122</v>
      </c>
      <c r="AB4" s="97" t="s">
        <v>123</v>
      </c>
      <c r="AC4" s="97"/>
      <c r="AD4" s="39"/>
      <c r="AE4" s="26" t="s">
        <v>119</v>
      </c>
      <c r="AI4" s="15" t="s">
        <v>125</v>
      </c>
      <c r="AM4" s="97" t="s">
        <v>123</v>
      </c>
      <c r="AN4" s="97"/>
      <c r="AO4" s="39"/>
      <c r="AP4" s="98" t="s">
        <v>126</v>
      </c>
      <c r="AQ4" s="98"/>
      <c r="AR4" s="98"/>
      <c r="AS4" s="98"/>
      <c r="AT4" s="98"/>
      <c r="AU4" s="98"/>
      <c r="AV4" s="98"/>
      <c r="AW4" s="98"/>
      <c r="AZ4" s="26" t="s">
        <v>127</v>
      </c>
    </row>
    <row r="5" spans="1:52" s="1" customFormat="1" x14ac:dyDescent="0.25">
      <c r="A5" s="5"/>
      <c r="B5" s="1" t="s">
        <v>128</v>
      </c>
      <c r="C5" s="1" t="s">
        <v>129</v>
      </c>
      <c r="D5" s="1" t="s">
        <v>130</v>
      </c>
      <c r="E5" s="1" t="s">
        <v>131</v>
      </c>
      <c r="F5" s="1" t="s">
        <v>68</v>
      </c>
      <c r="G5" s="1" t="s">
        <v>133</v>
      </c>
      <c r="H5" s="39"/>
      <c r="I5" s="1" t="s">
        <v>128</v>
      </c>
      <c r="J5" s="1" t="s">
        <v>129</v>
      </c>
      <c r="K5" s="1" t="s">
        <v>130</v>
      </c>
      <c r="L5" s="1" t="s">
        <v>131</v>
      </c>
      <c r="M5" s="1" t="s">
        <v>134</v>
      </c>
      <c r="N5" s="1" t="s">
        <v>135</v>
      </c>
      <c r="O5" s="1" t="s">
        <v>136</v>
      </c>
      <c r="P5" s="1" t="s">
        <v>68</v>
      </c>
      <c r="Q5" s="1" t="s">
        <v>133</v>
      </c>
      <c r="R5" s="39"/>
      <c r="S5" s="1" t="s">
        <v>128</v>
      </c>
      <c r="T5" s="1" t="s">
        <v>129</v>
      </c>
      <c r="U5" s="1" t="s">
        <v>130</v>
      </c>
      <c r="V5" s="1" t="s">
        <v>131</v>
      </c>
      <c r="W5" s="12" t="s">
        <v>137</v>
      </c>
      <c r="X5" s="12" t="s">
        <v>132</v>
      </c>
      <c r="Y5" s="1" t="s">
        <v>134</v>
      </c>
      <c r="Z5" s="1" t="s">
        <v>135</v>
      </c>
      <c r="AA5" s="1" t="s">
        <v>136</v>
      </c>
      <c r="AB5" s="1" t="s">
        <v>68</v>
      </c>
      <c r="AC5" s="1" t="s">
        <v>133</v>
      </c>
      <c r="AD5" s="39"/>
      <c r="AE5" s="12" t="s">
        <v>128</v>
      </c>
      <c r="AF5" s="1" t="s">
        <v>129</v>
      </c>
      <c r="AG5" s="1" t="s">
        <v>130</v>
      </c>
      <c r="AH5" s="1" t="s">
        <v>131</v>
      </c>
      <c r="AI5" s="12" t="s">
        <v>132</v>
      </c>
      <c r="AJ5" s="1" t="s">
        <v>134</v>
      </c>
      <c r="AK5" s="1" t="s">
        <v>135</v>
      </c>
      <c r="AL5" s="1" t="s">
        <v>136</v>
      </c>
      <c r="AM5" s="1" t="s">
        <v>68</v>
      </c>
      <c r="AN5" s="1" t="s">
        <v>133</v>
      </c>
      <c r="AO5" s="39"/>
      <c r="AP5" s="1" t="s">
        <v>128</v>
      </c>
      <c r="AQ5" s="1" t="s">
        <v>129</v>
      </c>
      <c r="AR5" s="1" t="s">
        <v>130</v>
      </c>
      <c r="AS5" s="1" t="s">
        <v>131</v>
      </c>
      <c r="AT5" s="12" t="s">
        <v>132</v>
      </c>
      <c r="AU5" s="1" t="s">
        <v>134</v>
      </c>
      <c r="AV5" s="1" t="s">
        <v>135</v>
      </c>
      <c r="AW5" s="1" t="s">
        <v>136</v>
      </c>
      <c r="AX5" s="1" t="s">
        <v>68</v>
      </c>
      <c r="AY5" s="1" t="s">
        <v>133</v>
      </c>
      <c r="AZ5" s="1" t="s">
        <v>138</v>
      </c>
    </row>
    <row r="6" spans="1:52" s="1" customFormat="1" x14ac:dyDescent="0.25">
      <c r="A6" s="5" t="s">
        <v>139</v>
      </c>
      <c r="B6" s="2" t="s">
        <v>140</v>
      </c>
      <c r="C6" s="2" t="s">
        <v>141</v>
      </c>
      <c r="D6" s="2" t="s">
        <v>142</v>
      </c>
      <c r="E6" s="2" t="s">
        <v>143</v>
      </c>
      <c r="F6" s="2" t="s">
        <v>139</v>
      </c>
      <c r="G6" s="2" t="s">
        <v>144</v>
      </c>
      <c r="H6" s="40"/>
      <c r="I6" s="2" t="s">
        <v>140</v>
      </c>
      <c r="J6" s="2" t="s">
        <v>141</v>
      </c>
      <c r="K6" s="2" t="s">
        <v>142</v>
      </c>
      <c r="L6" s="2" t="s">
        <v>143</v>
      </c>
      <c r="M6" s="2" t="s">
        <v>145</v>
      </c>
      <c r="N6" s="2" t="s">
        <v>139</v>
      </c>
      <c r="O6" s="2" t="s">
        <v>139</v>
      </c>
      <c r="P6" s="2" t="s">
        <v>139</v>
      </c>
      <c r="Q6" s="2" t="s">
        <v>144</v>
      </c>
      <c r="R6" s="40"/>
      <c r="S6" s="2" t="s">
        <v>140</v>
      </c>
      <c r="T6" s="2" t="s">
        <v>141</v>
      </c>
      <c r="U6" s="2" t="s">
        <v>142</v>
      </c>
      <c r="V6" s="2" t="s">
        <v>143</v>
      </c>
      <c r="W6" s="10" t="str">
        <f>REPLACE(T6, 1, 30, "")</f>
        <v>HQ</v>
      </c>
      <c r="X6" s="2" t="str">
        <f>T6&amp;U6&amp;V6&amp;W6</f>
        <v>KENANGA INVESTMENT BANK BHD - HQKLM300000000HQ</v>
      </c>
      <c r="Y6" s="2" t="s">
        <v>145</v>
      </c>
      <c r="Z6" s="2" t="s">
        <v>139</v>
      </c>
      <c r="AA6" s="2" t="s">
        <v>139</v>
      </c>
      <c r="AB6" s="2" t="s">
        <v>139</v>
      </c>
      <c r="AC6" s="2" t="s">
        <v>144</v>
      </c>
      <c r="AD6" s="40"/>
      <c r="AE6" s="10" t="s">
        <v>146</v>
      </c>
      <c r="AF6" s="2" t="s">
        <v>147</v>
      </c>
      <c r="AG6" s="2" t="s">
        <v>142</v>
      </c>
      <c r="AH6" s="2" t="s">
        <v>143</v>
      </c>
      <c r="AI6" s="10" t="str">
        <f>AE6&amp;AF6&amp;AG6&amp;AH6</f>
        <v>MHBOS_001HQKLM300000000</v>
      </c>
      <c r="AJ6" s="2" t="s">
        <v>145</v>
      </c>
      <c r="AK6" s="2" t="s">
        <v>139</v>
      </c>
      <c r="AL6" s="2" t="s">
        <v>139</v>
      </c>
      <c r="AM6" s="2" t="s">
        <v>139</v>
      </c>
      <c r="AN6" s="2" t="s">
        <v>144</v>
      </c>
      <c r="AO6" s="40"/>
      <c r="AP6" s="2"/>
      <c r="AQ6" s="2"/>
      <c r="AR6" s="2"/>
      <c r="AS6" s="2"/>
      <c r="AT6" s="10" t="str">
        <f>AP6&amp;AQ6&amp;AR6&amp;AS6</f>
        <v/>
      </c>
      <c r="AU6" s="2"/>
    </row>
    <row r="7" spans="1:52" x14ac:dyDescent="0.25">
      <c r="B7" s="2" t="s">
        <v>148</v>
      </c>
      <c r="C7" s="2" t="s">
        <v>149</v>
      </c>
      <c r="D7" s="2" t="s">
        <v>150</v>
      </c>
      <c r="E7" s="2" t="s">
        <v>143</v>
      </c>
      <c r="F7" s="2" t="s">
        <v>139</v>
      </c>
      <c r="G7" s="2" t="s">
        <v>144</v>
      </c>
      <c r="I7" s="2" t="s">
        <v>148</v>
      </c>
      <c r="J7" s="2" t="s">
        <v>149</v>
      </c>
      <c r="K7" s="2" t="s">
        <v>150</v>
      </c>
      <c r="L7" s="2" t="s">
        <v>143</v>
      </c>
      <c r="M7" s="2" t="s">
        <v>145</v>
      </c>
      <c r="N7" s="2" t="s">
        <v>139</v>
      </c>
      <c r="O7" s="2" t="s">
        <v>139</v>
      </c>
      <c r="P7" s="2" t="s">
        <v>139</v>
      </c>
      <c r="Q7" s="2" t="s">
        <v>144</v>
      </c>
      <c r="S7" s="2" t="s">
        <v>148</v>
      </c>
      <c r="T7" s="2" t="s">
        <v>149</v>
      </c>
      <c r="U7" s="2" t="s">
        <v>150</v>
      </c>
      <c r="V7" s="2" t="s">
        <v>143</v>
      </c>
      <c r="W7" s="10" t="str">
        <f t="shared" ref="W7:W15" si="0">REPLACE(T7, 1, 30, "")</f>
        <v>MIRI</v>
      </c>
      <c r="X7" s="2" t="str">
        <f t="shared" ref="X7:X26" si="1">T7&amp;U7&amp;V7&amp;W7</f>
        <v>KENANGA INVESTMENT BANK BHD - MIRIMIRI300000000MIRI</v>
      </c>
      <c r="Y7" s="2" t="s">
        <v>145</v>
      </c>
      <c r="Z7" s="2" t="s">
        <v>139</v>
      </c>
      <c r="AA7" s="2" t="s">
        <v>139</v>
      </c>
      <c r="AB7" s="2" t="s">
        <v>139</v>
      </c>
      <c r="AC7" s="2" t="s">
        <v>144</v>
      </c>
      <c r="AE7" s="10" t="s">
        <v>151</v>
      </c>
      <c r="AF7" s="2" t="s">
        <v>150</v>
      </c>
      <c r="AG7" s="2" t="s">
        <v>150</v>
      </c>
      <c r="AH7" s="2" t="s">
        <v>143</v>
      </c>
      <c r="AI7" s="10" t="str">
        <f t="shared" ref="AI7:AI15" si="2">AE7&amp;AF7&amp;AG7&amp;AH7</f>
        <v>MHBOS_002MIRIMIRI300000000</v>
      </c>
      <c r="AJ7" s="2" t="s">
        <v>145</v>
      </c>
      <c r="AK7" s="2" t="s">
        <v>139</v>
      </c>
      <c r="AL7" s="2" t="s">
        <v>139</v>
      </c>
      <c r="AM7" s="2" t="s">
        <v>139</v>
      </c>
      <c r="AN7" s="2" t="s">
        <v>144</v>
      </c>
      <c r="AT7" s="10" t="str">
        <f t="shared" ref="AT7:AT15" si="3">AP7&amp;AQ7&amp;AR7&amp;AS7</f>
        <v/>
      </c>
    </row>
    <row r="8" spans="1:52" x14ac:dyDescent="0.25">
      <c r="B8" s="2" t="s">
        <v>152</v>
      </c>
      <c r="C8" s="2" t="s">
        <v>153</v>
      </c>
      <c r="D8" s="2" t="s">
        <v>154</v>
      </c>
      <c r="E8" s="2" t="s">
        <v>143</v>
      </c>
      <c r="F8" s="2" t="s">
        <v>139</v>
      </c>
      <c r="G8" s="2" t="s">
        <v>144</v>
      </c>
      <c r="I8" s="2" t="s">
        <v>152</v>
      </c>
      <c r="J8" s="2" t="s">
        <v>153</v>
      </c>
      <c r="K8" s="2" t="s">
        <v>154</v>
      </c>
      <c r="L8" s="2" t="s">
        <v>143</v>
      </c>
      <c r="M8" s="2" t="s">
        <v>145</v>
      </c>
      <c r="N8" s="2" t="s">
        <v>139</v>
      </c>
      <c r="O8" s="2" t="s">
        <v>139</v>
      </c>
      <c r="P8" s="2" t="s">
        <v>139</v>
      </c>
      <c r="Q8" s="2" t="s">
        <v>144</v>
      </c>
      <c r="S8" s="2" t="s">
        <v>152</v>
      </c>
      <c r="T8" s="2" t="s">
        <v>153</v>
      </c>
      <c r="U8" s="2" t="s">
        <v>154</v>
      </c>
      <c r="V8" s="2" t="s">
        <v>143</v>
      </c>
      <c r="W8" s="10" t="str">
        <f t="shared" si="0"/>
        <v>KUC</v>
      </c>
      <c r="X8" s="2" t="str">
        <f t="shared" si="1"/>
        <v>KENANGA INVESTMENT BANK BHD - KUCKUC300000000KUC</v>
      </c>
      <c r="Y8" s="2" t="s">
        <v>145</v>
      </c>
      <c r="Z8" s="2" t="s">
        <v>139</v>
      </c>
      <c r="AA8" s="2" t="s">
        <v>139</v>
      </c>
      <c r="AB8" s="2" t="s">
        <v>139</v>
      </c>
      <c r="AC8" s="2" t="s">
        <v>144</v>
      </c>
      <c r="AE8" s="10" t="s">
        <v>155</v>
      </c>
      <c r="AF8" s="2" t="s">
        <v>154</v>
      </c>
      <c r="AG8" s="2" t="s">
        <v>154</v>
      </c>
      <c r="AH8" s="2" t="s">
        <v>143</v>
      </c>
      <c r="AI8" s="10" t="str">
        <f t="shared" si="2"/>
        <v>MHBOS_003KUCKUC300000000</v>
      </c>
      <c r="AJ8" s="2" t="s">
        <v>145</v>
      </c>
      <c r="AK8" s="2" t="s">
        <v>139</v>
      </c>
      <c r="AL8" s="2" t="s">
        <v>139</v>
      </c>
      <c r="AM8" s="2" t="s">
        <v>139</v>
      </c>
      <c r="AN8" s="2" t="s">
        <v>144</v>
      </c>
      <c r="AT8" s="10" t="str">
        <f t="shared" si="3"/>
        <v/>
      </c>
    </row>
    <row r="9" spans="1:52" x14ac:dyDescent="0.25">
      <c r="B9" s="2" t="s">
        <v>156</v>
      </c>
      <c r="C9" s="2" t="s">
        <v>157</v>
      </c>
      <c r="D9" s="2" t="s">
        <v>158</v>
      </c>
      <c r="E9" s="2" t="s">
        <v>143</v>
      </c>
      <c r="F9" s="2" t="s">
        <v>139</v>
      </c>
      <c r="G9" s="2" t="s">
        <v>144</v>
      </c>
      <c r="I9" s="2" t="s">
        <v>156</v>
      </c>
      <c r="J9" s="2" t="s">
        <v>157</v>
      </c>
      <c r="K9" s="2" t="s">
        <v>158</v>
      </c>
      <c r="L9" s="2" t="s">
        <v>143</v>
      </c>
      <c r="M9" s="2" t="s">
        <v>145</v>
      </c>
      <c r="N9" s="2" t="s">
        <v>139</v>
      </c>
      <c r="O9" s="2" t="s">
        <v>139</v>
      </c>
      <c r="P9" s="2" t="s">
        <v>139</v>
      </c>
      <c r="Q9" s="2" t="s">
        <v>144</v>
      </c>
      <c r="S9" s="2" t="s">
        <v>156</v>
      </c>
      <c r="T9" s="2" t="s">
        <v>157</v>
      </c>
      <c r="U9" s="2" t="s">
        <v>158</v>
      </c>
      <c r="V9" s="2" t="s">
        <v>143</v>
      </c>
      <c r="W9" s="10" t="str">
        <f t="shared" si="0"/>
        <v>JB</v>
      </c>
      <c r="X9" s="2" t="str">
        <f t="shared" si="1"/>
        <v>KENANGA INVESTMENT BANK BHD - JBJB300000000JB</v>
      </c>
      <c r="Y9" s="2" t="s">
        <v>145</v>
      </c>
      <c r="Z9" s="2" t="s">
        <v>139</v>
      </c>
      <c r="AA9" s="2" t="s">
        <v>139</v>
      </c>
      <c r="AB9" s="2" t="s">
        <v>139</v>
      </c>
      <c r="AC9" s="2" t="s">
        <v>144</v>
      </c>
      <c r="AE9" s="10" t="s">
        <v>159</v>
      </c>
      <c r="AF9" s="2" t="s">
        <v>158</v>
      </c>
      <c r="AG9" s="2" t="s">
        <v>158</v>
      </c>
      <c r="AH9" s="2" t="s">
        <v>143</v>
      </c>
      <c r="AI9" s="10" t="str">
        <f t="shared" si="2"/>
        <v>MHBOS_004JBJB300000000</v>
      </c>
      <c r="AJ9" s="2" t="s">
        <v>145</v>
      </c>
      <c r="AK9" s="2" t="s">
        <v>139</v>
      </c>
      <c r="AL9" s="2" t="s">
        <v>139</v>
      </c>
      <c r="AM9" s="2" t="s">
        <v>139</v>
      </c>
      <c r="AN9" s="2" t="s">
        <v>144</v>
      </c>
      <c r="AT9" s="10" t="str">
        <f t="shared" si="3"/>
        <v/>
      </c>
    </row>
    <row r="10" spans="1:52" x14ac:dyDescent="0.25">
      <c r="B10" s="2" t="s">
        <v>160</v>
      </c>
      <c r="C10" s="2" t="s">
        <v>161</v>
      </c>
      <c r="D10" s="2" t="s">
        <v>162</v>
      </c>
      <c r="E10" s="2" t="s">
        <v>143</v>
      </c>
      <c r="F10" s="2" t="s">
        <v>139</v>
      </c>
      <c r="G10" s="2" t="s">
        <v>144</v>
      </c>
      <c r="I10" s="2" t="s">
        <v>160</v>
      </c>
      <c r="J10" s="2" t="s">
        <v>161</v>
      </c>
      <c r="K10" s="2" t="s">
        <v>162</v>
      </c>
      <c r="L10" s="2" t="s">
        <v>143</v>
      </c>
      <c r="M10" s="2" t="s">
        <v>145</v>
      </c>
      <c r="N10" s="2" t="s">
        <v>139</v>
      </c>
      <c r="O10" s="2" t="s">
        <v>139</v>
      </c>
      <c r="P10" s="2" t="s">
        <v>139</v>
      </c>
      <c r="Q10" s="2" t="s">
        <v>144</v>
      </c>
      <c r="S10" s="2" t="s">
        <v>160</v>
      </c>
      <c r="T10" s="2" t="s">
        <v>161</v>
      </c>
      <c r="U10" s="2" t="s">
        <v>162</v>
      </c>
      <c r="V10" s="2" t="s">
        <v>143</v>
      </c>
      <c r="W10" s="10" t="str">
        <f t="shared" si="0"/>
        <v>PJ</v>
      </c>
      <c r="X10" s="2" t="str">
        <f t="shared" si="1"/>
        <v>KENANGA INVESTMENT BANK BHD - PJPJ300000000PJ</v>
      </c>
      <c r="Y10" s="2" t="s">
        <v>145</v>
      </c>
      <c r="Z10" s="2" t="s">
        <v>139</v>
      </c>
      <c r="AA10" s="2" t="s">
        <v>139</v>
      </c>
      <c r="AB10" s="2" t="s">
        <v>139</v>
      </c>
      <c r="AC10" s="2" t="s">
        <v>144</v>
      </c>
      <c r="AE10" s="10" t="s">
        <v>163</v>
      </c>
      <c r="AF10" s="2" t="s">
        <v>162</v>
      </c>
      <c r="AG10" s="2" t="s">
        <v>162</v>
      </c>
      <c r="AH10" s="2" t="s">
        <v>143</v>
      </c>
      <c r="AI10" s="10" t="str">
        <f t="shared" si="2"/>
        <v>MHBOS_005PJPJ300000000</v>
      </c>
      <c r="AJ10" s="2" t="s">
        <v>145</v>
      </c>
      <c r="AK10" s="2" t="s">
        <v>139</v>
      </c>
      <c r="AL10" s="2" t="s">
        <v>139</v>
      </c>
      <c r="AM10" s="2" t="s">
        <v>139</v>
      </c>
      <c r="AN10" s="2" t="s">
        <v>144</v>
      </c>
      <c r="AT10" s="10" t="str">
        <f t="shared" si="3"/>
        <v/>
      </c>
    </row>
    <row r="11" spans="1:52" x14ac:dyDescent="0.25">
      <c r="B11" s="2" t="s">
        <v>164</v>
      </c>
      <c r="C11" s="2" t="s">
        <v>165</v>
      </c>
      <c r="D11" s="2" t="s">
        <v>166</v>
      </c>
      <c r="E11" s="2" t="s">
        <v>143</v>
      </c>
      <c r="F11" s="2" t="s">
        <v>139</v>
      </c>
      <c r="G11" s="2" t="s">
        <v>144</v>
      </c>
      <c r="I11" s="2" t="s">
        <v>164</v>
      </c>
      <c r="J11" s="2" t="s">
        <v>165</v>
      </c>
      <c r="K11" s="2" t="s">
        <v>166</v>
      </c>
      <c r="L11" s="2" t="s">
        <v>143</v>
      </c>
      <c r="M11" s="2" t="s">
        <v>145</v>
      </c>
      <c r="N11" s="2" t="s">
        <v>139</v>
      </c>
      <c r="O11" s="2" t="s">
        <v>139</v>
      </c>
      <c r="P11" s="2" t="s">
        <v>139</v>
      </c>
      <c r="Q11" s="2" t="s">
        <v>144</v>
      </c>
      <c r="S11" s="2" t="s">
        <v>164</v>
      </c>
      <c r="T11" s="2" t="s">
        <v>165</v>
      </c>
      <c r="U11" s="2" t="s">
        <v>166</v>
      </c>
      <c r="V11" s="2" t="s">
        <v>143</v>
      </c>
      <c r="W11" s="10" t="str">
        <f t="shared" si="0"/>
        <v>USJ</v>
      </c>
      <c r="X11" s="2" t="str">
        <f t="shared" si="1"/>
        <v>KENANGA INVESTMENT BANK BHD - USJUSJ300000000USJ</v>
      </c>
      <c r="Y11" s="2" t="s">
        <v>145</v>
      </c>
      <c r="Z11" s="2" t="s">
        <v>139</v>
      </c>
      <c r="AA11" s="2" t="s">
        <v>139</v>
      </c>
      <c r="AB11" s="2" t="s">
        <v>139</v>
      </c>
      <c r="AC11" s="2" t="s">
        <v>144</v>
      </c>
      <c r="AE11" s="10" t="s">
        <v>167</v>
      </c>
      <c r="AF11" s="2" t="s">
        <v>166</v>
      </c>
      <c r="AG11" s="2" t="s">
        <v>166</v>
      </c>
      <c r="AH11" s="2" t="s">
        <v>143</v>
      </c>
      <c r="AI11" s="10" t="str">
        <f t="shared" si="2"/>
        <v>MHBOS_006USJUSJ300000000</v>
      </c>
      <c r="AJ11" s="2" t="s">
        <v>145</v>
      </c>
      <c r="AK11" s="2" t="s">
        <v>139</v>
      </c>
      <c r="AL11" s="2" t="s">
        <v>139</v>
      </c>
      <c r="AM11" s="2" t="s">
        <v>139</v>
      </c>
      <c r="AN11" s="2" t="s">
        <v>144</v>
      </c>
      <c r="AT11" s="10" t="str">
        <f t="shared" si="3"/>
        <v/>
      </c>
    </row>
    <row r="12" spans="1:52" x14ac:dyDescent="0.25">
      <c r="B12" s="2" t="s">
        <v>168</v>
      </c>
      <c r="C12" s="2" t="s">
        <v>169</v>
      </c>
      <c r="D12" s="2" t="s">
        <v>170</v>
      </c>
      <c r="E12" s="2" t="s">
        <v>143</v>
      </c>
      <c r="F12" s="2" t="s">
        <v>139</v>
      </c>
      <c r="G12" s="2" t="s">
        <v>144</v>
      </c>
      <c r="I12" s="2" t="s">
        <v>168</v>
      </c>
      <c r="J12" s="2" t="s">
        <v>169</v>
      </c>
      <c r="K12" s="2" t="s">
        <v>170</v>
      </c>
      <c r="L12" s="2" t="s">
        <v>143</v>
      </c>
      <c r="M12" s="2" t="s">
        <v>145</v>
      </c>
      <c r="N12" s="2" t="s">
        <v>139</v>
      </c>
      <c r="O12" s="2" t="s">
        <v>139</v>
      </c>
      <c r="P12" s="2" t="s">
        <v>139</v>
      </c>
      <c r="Q12" s="2" t="s">
        <v>144</v>
      </c>
      <c r="S12" s="2" t="s">
        <v>168</v>
      </c>
      <c r="T12" s="2" t="s">
        <v>169</v>
      </c>
      <c r="U12" s="2" t="s">
        <v>170</v>
      </c>
      <c r="V12" s="2" t="s">
        <v>143</v>
      </c>
      <c r="W12" s="10" t="str">
        <f t="shared" si="0"/>
        <v>KLG</v>
      </c>
      <c r="X12" s="2" t="str">
        <f t="shared" si="1"/>
        <v>KENANGA INVESTMENT BANK BHD - KLGKLANG300000000KLG</v>
      </c>
      <c r="Y12" s="2" t="s">
        <v>145</v>
      </c>
      <c r="Z12" s="2" t="s">
        <v>139</v>
      </c>
      <c r="AA12" s="2" t="s">
        <v>139</v>
      </c>
      <c r="AB12" s="2" t="s">
        <v>139</v>
      </c>
      <c r="AC12" s="2" t="s">
        <v>144</v>
      </c>
      <c r="AE12" s="10" t="s">
        <v>171</v>
      </c>
      <c r="AF12" s="2" t="s">
        <v>172</v>
      </c>
      <c r="AG12" s="2" t="s">
        <v>170</v>
      </c>
      <c r="AH12" s="2" t="s">
        <v>143</v>
      </c>
      <c r="AI12" s="10" t="str">
        <f t="shared" si="2"/>
        <v>MHBOS_007KLGKLANG300000000</v>
      </c>
      <c r="AJ12" s="2" t="s">
        <v>145</v>
      </c>
      <c r="AK12" s="2" t="s">
        <v>139</v>
      </c>
      <c r="AL12" s="2" t="s">
        <v>139</v>
      </c>
      <c r="AM12" s="2" t="s">
        <v>139</v>
      </c>
      <c r="AN12" s="2" t="s">
        <v>144</v>
      </c>
      <c r="AT12" s="10" t="str">
        <f t="shared" si="3"/>
        <v/>
      </c>
    </row>
    <row r="13" spans="1:52" x14ac:dyDescent="0.25">
      <c r="B13" s="2" t="s">
        <v>173</v>
      </c>
      <c r="C13" s="2" t="s">
        <v>174</v>
      </c>
      <c r="D13" s="2" t="s">
        <v>175</v>
      </c>
      <c r="E13" s="2" t="s">
        <v>143</v>
      </c>
      <c r="F13" s="2" t="s">
        <v>139</v>
      </c>
      <c r="G13" s="2" t="s">
        <v>144</v>
      </c>
      <c r="I13" s="2" t="s">
        <v>173</v>
      </c>
      <c r="J13" s="2" t="s">
        <v>174</v>
      </c>
      <c r="K13" s="2" t="s">
        <v>175</v>
      </c>
      <c r="L13" s="2" t="s">
        <v>143</v>
      </c>
      <c r="M13" s="2" t="s">
        <v>145</v>
      </c>
      <c r="N13" s="2" t="s">
        <v>139</v>
      </c>
      <c r="O13" s="2" t="s">
        <v>139</v>
      </c>
      <c r="P13" s="2" t="s">
        <v>139</v>
      </c>
      <c r="Q13" s="2" t="s">
        <v>144</v>
      </c>
      <c r="S13" s="2" t="s">
        <v>173</v>
      </c>
      <c r="T13" s="2" t="s">
        <v>174</v>
      </c>
      <c r="U13" s="2" t="s">
        <v>175</v>
      </c>
      <c r="V13" s="2" t="s">
        <v>143</v>
      </c>
      <c r="W13" s="10" t="str">
        <f t="shared" si="0"/>
        <v>MUAR</v>
      </c>
      <c r="X13" s="2" t="str">
        <f t="shared" si="1"/>
        <v>KENANGA INVESTMENT BANK BHD - MUARMUAR300000000MUAR</v>
      </c>
      <c r="Y13" s="2" t="s">
        <v>145</v>
      </c>
      <c r="Z13" s="2" t="s">
        <v>139</v>
      </c>
      <c r="AA13" s="2" t="s">
        <v>139</v>
      </c>
      <c r="AB13" s="2" t="s">
        <v>139</v>
      </c>
      <c r="AC13" s="2" t="s">
        <v>144</v>
      </c>
      <c r="AE13" s="10" t="s">
        <v>176</v>
      </c>
      <c r="AF13" s="2" t="s">
        <v>175</v>
      </c>
      <c r="AG13" s="2" t="s">
        <v>175</v>
      </c>
      <c r="AH13" s="2" t="s">
        <v>143</v>
      </c>
      <c r="AI13" s="10" t="str">
        <f t="shared" si="2"/>
        <v>MHBOS_008MUARMUAR300000000</v>
      </c>
      <c r="AJ13" s="2" t="s">
        <v>145</v>
      </c>
      <c r="AK13" s="2" t="s">
        <v>139</v>
      </c>
      <c r="AL13" s="2" t="s">
        <v>139</v>
      </c>
      <c r="AM13" s="2" t="s">
        <v>139</v>
      </c>
      <c r="AN13" s="2" t="s">
        <v>144</v>
      </c>
      <c r="AT13" s="10" t="str">
        <f t="shared" si="3"/>
        <v/>
      </c>
    </row>
    <row r="14" spans="1:52" x14ac:dyDescent="0.25">
      <c r="B14" s="2" t="s">
        <v>177</v>
      </c>
      <c r="C14" s="2" t="s">
        <v>178</v>
      </c>
      <c r="D14" s="2" t="s">
        <v>179</v>
      </c>
      <c r="E14" s="2" t="s">
        <v>143</v>
      </c>
      <c r="F14" s="2" t="s">
        <v>139</v>
      </c>
      <c r="G14" s="2" t="s">
        <v>144</v>
      </c>
      <c r="I14" s="2" t="s">
        <v>177</v>
      </c>
      <c r="J14" s="2" t="s">
        <v>178</v>
      </c>
      <c r="K14" s="2" t="s">
        <v>179</v>
      </c>
      <c r="L14" s="2" t="s">
        <v>143</v>
      </c>
      <c r="M14" s="2" t="s">
        <v>145</v>
      </c>
      <c r="N14" s="2" t="s">
        <v>139</v>
      </c>
      <c r="O14" s="2" t="s">
        <v>139</v>
      </c>
      <c r="P14" s="2" t="s">
        <v>139</v>
      </c>
      <c r="Q14" s="2" t="s">
        <v>144</v>
      </c>
      <c r="S14" s="2" t="s">
        <v>177</v>
      </c>
      <c r="T14" s="2" t="s">
        <v>178</v>
      </c>
      <c r="U14" s="2" t="s">
        <v>179</v>
      </c>
      <c r="V14" s="2" t="s">
        <v>143</v>
      </c>
      <c r="W14" s="10" t="str">
        <f t="shared" si="0"/>
        <v>SGT</v>
      </c>
      <c r="X14" s="2" t="str">
        <f t="shared" si="1"/>
        <v>KENANGA INVESTMENT BANK BHD - SGTSGAMAT300000000SGT</v>
      </c>
      <c r="Y14" s="2" t="s">
        <v>145</v>
      </c>
      <c r="Z14" s="2" t="s">
        <v>139</v>
      </c>
      <c r="AA14" s="2" t="s">
        <v>139</v>
      </c>
      <c r="AB14" s="2" t="s">
        <v>139</v>
      </c>
      <c r="AC14" s="2" t="s">
        <v>144</v>
      </c>
      <c r="AE14" s="10" t="s">
        <v>180</v>
      </c>
      <c r="AF14" s="2" t="s">
        <v>181</v>
      </c>
      <c r="AG14" s="2" t="s">
        <v>179</v>
      </c>
      <c r="AH14" s="2" t="s">
        <v>143</v>
      </c>
      <c r="AI14" s="10" t="str">
        <f t="shared" si="2"/>
        <v>MHBOS_009SGTSGAMAT300000000</v>
      </c>
      <c r="AJ14" s="2" t="s">
        <v>145</v>
      </c>
      <c r="AK14" s="2" t="s">
        <v>139</v>
      </c>
      <c r="AL14" s="2" t="s">
        <v>139</v>
      </c>
      <c r="AM14" s="2" t="s">
        <v>139</v>
      </c>
      <c r="AN14" s="2" t="s">
        <v>144</v>
      </c>
      <c r="AT14" s="10" t="str">
        <f t="shared" si="3"/>
        <v/>
      </c>
    </row>
    <row r="15" spans="1:52" x14ac:dyDescent="0.25">
      <c r="B15" s="2" t="s">
        <v>182</v>
      </c>
      <c r="C15" s="2" t="s">
        <v>183</v>
      </c>
      <c r="D15" s="2" t="s">
        <v>184</v>
      </c>
      <c r="E15" s="2" t="s">
        <v>143</v>
      </c>
      <c r="F15" s="2" t="s">
        <v>139</v>
      </c>
      <c r="G15" s="2" t="s">
        <v>144</v>
      </c>
      <c r="I15" s="2" t="s">
        <v>182</v>
      </c>
      <c r="J15" s="2" t="s">
        <v>183</v>
      </c>
      <c r="K15" s="2" t="s">
        <v>184</v>
      </c>
      <c r="L15" s="2" t="s">
        <v>143</v>
      </c>
      <c r="M15" s="2" t="s">
        <v>145</v>
      </c>
      <c r="N15" s="2" t="s">
        <v>139</v>
      </c>
      <c r="O15" s="2" t="s">
        <v>139</v>
      </c>
      <c r="P15" s="2" t="s">
        <v>139</v>
      </c>
      <c r="Q15" s="2" t="s">
        <v>144</v>
      </c>
      <c r="S15" s="2" t="s">
        <v>182</v>
      </c>
      <c r="T15" s="2" t="s">
        <v>183</v>
      </c>
      <c r="U15" s="2" t="s">
        <v>184</v>
      </c>
      <c r="V15" s="2" t="s">
        <v>143</v>
      </c>
      <c r="W15" s="10" t="str">
        <f t="shared" si="0"/>
        <v>KLU</v>
      </c>
      <c r="X15" s="2" t="str">
        <f t="shared" si="1"/>
        <v>KENANGA INVESTMENT BANK BHD - KLUKLUANG300000000KLU</v>
      </c>
      <c r="Y15" s="2" t="s">
        <v>145</v>
      </c>
      <c r="Z15" s="2" t="s">
        <v>139</v>
      </c>
      <c r="AA15" s="2" t="s">
        <v>139</v>
      </c>
      <c r="AB15" s="2" t="s">
        <v>139</v>
      </c>
      <c r="AC15" s="2" t="s">
        <v>144</v>
      </c>
      <c r="AE15" s="10" t="s">
        <v>185</v>
      </c>
      <c r="AF15" s="2" t="s">
        <v>186</v>
      </c>
      <c r="AG15" s="2" t="s">
        <v>184</v>
      </c>
      <c r="AH15" s="2" t="s">
        <v>143</v>
      </c>
      <c r="AI15" s="10" t="str">
        <f t="shared" si="2"/>
        <v>MHBOS_010KLUKLUANG300000000</v>
      </c>
      <c r="AJ15" s="2" t="s">
        <v>145</v>
      </c>
      <c r="AK15" s="2" t="s">
        <v>139</v>
      </c>
      <c r="AL15" s="2" t="s">
        <v>139</v>
      </c>
      <c r="AM15" s="2" t="s">
        <v>139</v>
      </c>
      <c r="AN15" s="2" t="s">
        <v>144</v>
      </c>
      <c r="AT15" s="10" t="str">
        <f t="shared" si="3"/>
        <v/>
      </c>
    </row>
    <row r="16" spans="1:52" s="6" customFormat="1" x14ac:dyDescent="0.25">
      <c r="B16" s="9" t="s">
        <v>83</v>
      </c>
      <c r="H16" s="40"/>
      <c r="I16" s="9" t="s">
        <v>195</v>
      </c>
      <c r="R16" s="40"/>
      <c r="S16" s="9" t="s">
        <v>196</v>
      </c>
      <c r="W16" s="13"/>
      <c r="AD16" s="40"/>
      <c r="AE16" s="28" t="s">
        <v>197</v>
      </c>
      <c r="AF16" s="9"/>
      <c r="AG16" s="9"/>
      <c r="AH16" s="9"/>
      <c r="AI16" s="28"/>
      <c r="AJ16" s="9"/>
      <c r="AK16" s="9"/>
      <c r="AL16" s="9"/>
      <c r="AM16" s="9"/>
      <c r="AO16" s="40"/>
      <c r="AP16" s="9" t="s">
        <v>83</v>
      </c>
      <c r="AT16" s="28"/>
    </row>
    <row r="17" spans="1:52" s="1" customFormat="1" x14ac:dyDescent="0.25">
      <c r="A17" s="5" t="s">
        <v>190</v>
      </c>
      <c r="B17" s="2" t="s">
        <v>140</v>
      </c>
      <c r="C17" s="2" t="s">
        <v>141</v>
      </c>
      <c r="D17" s="2" t="s">
        <v>142</v>
      </c>
      <c r="E17" s="7" t="s">
        <v>191</v>
      </c>
      <c r="F17" s="2" t="s">
        <v>190</v>
      </c>
      <c r="G17" s="27" t="s">
        <v>192</v>
      </c>
      <c r="H17" s="40"/>
      <c r="I17" s="2" t="s">
        <v>140</v>
      </c>
      <c r="J17" s="2" t="s">
        <v>141</v>
      </c>
      <c r="K17" s="2" t="s">
        <v>142</v>
      </c>
      <c r="L17" s="7" t="s">
        <v>191</v>
      </c>
      <c r="M17" s="2" t="s">
        <v>145</v>
      </c>
      <c r="N17" s="2" t="s">
        <v>139</v>
      </c>
      <c r="O17" s="7" t="s">
        <v>190</v>
      </c>
      <c r="P17" s="7" t="s">
        <v>190</v>
      </c>
      <c r="Q17" s="7" t="s">
        <v>192</v>
      </c>
      <c r="R17" s="40"/>
      <c r="S17" s="27" t="s">
        <v>140</v>
      </c>
      <c r="T17" s="27" t="s">
        <v>141</v>
      </c>
      <c r="U17" s="27" t="s">
        <v>142</v>
      </c>
      <c r="V17" s="7" t="s">
        <v>191</v>
      </c>
      <c r="W17" s="10" t="str">
        <f t="shared" ref="W17:W26" si="4">REPLACE(T17, 1, 30, "")</f>
        <v>HQ</v>
      </c>
      <c r="X17" s="7" t="str">
        <f t="shared" si="1"/>
        <v>KENANGA INVESTMENT BANK BHD - HQKLM400000000HQ</v>
      </c>
      <c r="Y17" s="27" t="s">
        <v>145</v>
      </c>
      <c r="Z17" s="27" t="s">
        <v>139</v>
      </c>
      <c r="AA17" s="7" t="s">
        <v>190</v>
      </c>
      <c r="AB17" s="7" t="s">
        <v>190</v>
      </c>
      <c r="AC17" s="7" t="s">
        <v>192</v>
      </c>
      <c r="AD17" s="40"/>
      <c r="AE17" s="10" t="s">
        <v>146</v>
      </c>
      <c r="AF17" s="2" t="s">
        <v>147</v>
      </c>
      <c r="AG17" s="2" t="s">
        <v>142</v>
      </c>
      <c r="AH17" s="7" t="s">
        <v>191</v>
      </c>
      <c r="AI17" s="10" t="str">
        <f t="shared" ref="AI17:AI26" si="5">AE17&amp;AF17&amp;AG17&amp;AH17</f>
        <v>MHBOS_001HQKLM400000000</v>
      </c>
      <c r="AJ17" s="2" t="s">
        <v>145</v>
      </c>
      <c r="AK17" s="2" t="s">
        <v>139</v>
      </c>
      <c r="AL17" s="7" t="s">
        <v>190</v>
      </c>
      <c r="AM17" s="7" t="s">
        <v>190</v>
      </c>
      <c r="AN17" s="7" t="s">
        <v>192</v>
      </c>
      <c r="AO17" s="40"/>
      <c r="AP17" s="10" t="s">
        <v>146</v>
      </c>
      <c r="AQ17" s="2" t="s">
        <v>147</v>
      </c>
      <c r="AR17" s="2" t="s">
        <v>142</v>
      </c>
      <c r="AS17" s="2" t="s">
        <v>143</v>
      </c>
      <c r="AT17" s="10" t="str">
        <f>AP17&amp;AQ17&amp;AR17&amp;AS17</f>
        <v>MHBOS_001HQKLM300000000</v>
      </c>
      <c r="AU17" s="2" t="s">
        <v>145</v>
      </c>
      <c r="AV17" s="2" t="s">
        <v>139</v>
      </c>
      <c r="AW17" s="2" t="s">
        <v>139</v>
      </c>
      <c r="AX17" s="7" t="s">
        <v>190</v>
      </c>
      <c r="AY17" s="7" t="s">
        <v>192</v>
      </c>
      <c r="AZ17" s="7" t="s">
        <v>193</v>
      </c>
    </row>
    <row r="18" spans="1:52" x14ac:dyDescent="0.25">
      <c r="B18" s="2" t="s">
        <v>148</v>
      </c>
      <c r="C18" s="2" t="s">
        <v>149</v>
      </c>
      <c r="D18" s="2" t="s">
        <v>150</v>
      </c>
      <c r="E18" s="2" t="s">
        <v>143</v>
      </c>
      <c r="F18" s="2" t="s">
        <v>190</v>
      </c>
      <c r="G18" s="27" t="s">
        <v>192</v>
      </c>
      <c r="I18" s="2" t="s">
        <v>148</v>
      </c>
      <c r="J18" s="2" t="s">
        <v>149</v>
      </c>
      <c r="K18" s="2" t="s">
        <v>150</v>
      </c>
      <c r="L18" s="2" t="s">
        <v>143</v>
      </c>
      <c r="M18" s="2" t="s">
        <v>145</v>
      </c>
      <c r="N18" s="2" t="s">
        <v>139</v>
      </c>
      <c r="O18" s="7" t="s">
        <v>190</v>
      </c>
      <c r="P18" s="7" t="s">
        <v>190</v>
      </c>
      <c r="Q18" s="7" t="s">
        <v>192</v>
      </c>
      <c r="S18" s="27" t="s">
        <v>148</v>
      </c>
      <c r="T18" s="27" t="s">
        <v>149</v>
      </c>
      <c r="U18" s="27" t="s">
        <v>150</v>
      </c>
      <c r="V18" s="27" t="s">
        <v>143</v>
      </c>
      <c r="W18" s="10" t="str">
        <f t="shared" si="4"/>
        <v>MIRI</v>
      </c>
      <c r="X18" s="2" t="str">
        <f t="shared" si="1"/>
        <v>KENANGA INVESTMENT BANK BHD - MIRIMIRI300000000MIRI</v>
      </c>
      <c r="Y18" s="27" t="s">
        <v>145</v>
      </c>
      <c r="Z18" s="27" t="s">
        <v>139</v>
      </c>
      <c r="AA18" s="7" t="s">
        <v>190</v>
      </c>
      <c r="AB18" s="7" t="s">
        <v>190</v>
      </c>
      <c r="AC18" s="7" t="s">
        <v>192</v>
      </c>
      <c r="AE18" s="10" t="s">
        <v>151</v>
      </c>
      <c r="AF18" s="2" t="s">
        <v>150</v>
      </c>
      <c r="AG18" s="2" t="s">
        <v>150</v>
      </c>
      <c r="AH18" s="2" t="s">
        <v>143</v>
      </c>
      <c r="AI18" s="10" t="str">
        <f t="shared" si="5"/>
        <v>MHBOS_002MIRIMIRI300000000</v>
      </c>
      <c r="AJ18" s="2" t="s">
        <v>145</v>
      </c>
      <c r="AK18" s="2" t="s">
        <v>139</v>
      </c>
      <c r="AL18" s="2" t="s">
        <v>139</v>
      </c>
      <c r="AM18" s="7" t="s">
        <v>190</v>
      </c>
      <c r="AN18" s="7" t="s">
        <v>192</v>
      </c>
      <c r="AP18" s="10" t="s">
        <v>185</v>
      </c>
      <c r="AQ18" s="2" t="s">
        <v>186</v>
      </c>
      <c r="AR18" s="2" t="s">
        <v>184</v>
      </c>
      <c r="AS18" s="2" t="s">
        <v>143</v>
      </c>
      <c r="AT18" s="10" t="str">
        <f t="shared" ref="AT18" si="6">AP18&amp;AQ18&amp;AR18&amp;AS18</f>
        <v>MHBOS_010KLUKLUANG300000000</v>
      </c>
      <c r="AU18" s="2" t="s">
        <v>145</v>
      </c>
      <c r="AV18" s="2" t="s">
        <v>139</v>
      </c>
      <c r="AW18" s="2" t="s">
        <v>139</v>
      </c>
      <c r="AX18" s="7" t="s">
        <v>190</v>
      </c>
      <c r="AY18" s="7" t="s">
        <v>192</v>
      </c>
      <c r="AZ18" s="7" t="s">
        <v>193</v>
      </c>
    </row>
    <row r="19" spans="1:52" x14ac:dyDescent="0.25">
      <c r="B19" s="2" t="s">
        <v>152</v>
      </c>
      <c r="C19" s="2" t="s">
        <v>153</v>
      </c>
      <c r="D19" s="2" t="s">
        <v>154</v>
      </c>
      <c r="E19" s="2" t="s">
        <v>143</v>
      </c>
      <c r="F19" s="2" t="s">
        <v>190</v>
      </c>
      <c r="G19" s="27" t="s">
        <v>192</v>
      </c>
      <c r="I19" s="2" t="s">
        <v>152</v>
      </c>
      <c r="J19" s="2" t="s">
        <v>153</v>
      </c>
      <c r="K19" s="2" t="s">
        <v>154</v>
      </c>
      <c r="L19" s="2" t="s">
        <v>143</v>
      </c>
      <c r="M19" s="2" t="s">
        <v>145</v>
      </c>
      <c r="N19" s="2" t="s">
        <v>139</v>
      </c>
      <c r="O19" s="7" t="s">
        <v>190</v>
      </c>
      <c r="P19" s="7" t="s">
        <v>190</v>
      </c>
      <c r="Q19" s="7" t="s">
        <v>192</v>
      </c>
      <c r="S19" s="27" t="s">
        <v>152</v>
      </c>
      <c r="T19" s="27" t="s">
        <v>153</v>
      </c>
      <c r="U19" s="27" t="s">
        <v>154</v>
      </c>
      <c r="V19" s="27" t="s">
        <v>143</v>
      </c>
      <c r="W19" s="10" t="str">
        <f t="shared" si="4"/>
        <v>KUC</v>
      </c>
      <c r="X19" s="2" t="str">
        <f t="shared" si="1"/>
        <v>KENANGA INVESTMENT BANK BHD - KUCKUC300000000KUC</v>
      </c>
      <c r="Y19" s="27" t="s">
        <v>145</v>
      </c>
      <c r="Z19" s="27" t="s">
        <v>139</v>
      </c>
      <c r="AA19" s="7" t="s">
        <v>190</v>
      </c>
      <c r="AB19" s="7" t="s">
        <v>190</v>
      </c>
      <c r="AC19" s="7" t="s">
        <v>192</v>
      </c>
      <c r="AE19" s="10" t="s">
        <v>155</v>
      </c>
      <c r="AF19" s="2" t="s">
        <v>154</v>
      </c>
      <c r="AG19" s="2" t="s">
        <v>154</v>
      </c>
      <c r="AH19" s="2" t="s">
        <v>143</v>
      </c>
      <c r="AI19" s="10" t="str">
        <f t="shared" si="5"/>
        <v>MHBOS_003KUCKUC300000000</v>
      </c>
      <c r="AJ19" s="2" t="s">
        <v>145</v>
      </c>
      <c r="AK19" s="2" t="s">
        <v>139</v>
      </c>
      <c r="AL19" s="2" t="s">
        <v>139</v>
      </c>
      <c r="AM19" s="7" t="s">
        <v>190</v>
      </c>
      <c r="AN19" s="7" t="s">
        <v>192</v>
      </c>
      <c r="AT19" s="10" t="str">
        <f t="shared" ref="AT19:AT26" si="7">AP19&amp;AQ19&amp;AR19&amp;AS19</f>
        <v/>
      </c>
    </row>
    <row r="20" spans="1:52" x14ac:dyDescent="0.25">
      <c r="B20" s="2" t="s">
        <v>156</v>
      </c>
      <c r="C20" s="2" t="s">
        <v>157</v>
      </c>
      <c r="D20" s="2" t="s">
        <v>158</v>
      </c>
      <c r="E20" s="2" t="s">
        <v>143</v>
      </c>
      <c r="F20" s="2" t="s">
        <v>190</v>
      </c>
      <c r="G20" s="27" t="s">
        <v>192</v>
      </c>
      <c r="I20" s="2" t="s">
        <v>156</v>
      </c>
      <c r="J20" s="2" t="s">
        <v>157</v>
      </c>
      <c r="K20" s="2" t="s">
        <v>158</v>
      </c>
      <c r="L20" s="2" t="s">
        <v>143</v>
      </c>
      <c r="M20" s="2" t="s">
        <v>145</v>
      </c>
      <c r="N20" s="2" t="s">
        <v>139</v>
      </c>
      <c r="O20" s="7" t="s">
        <v>190</v>
      </c>
      <c r="P20" s="7" t="s">
        <v>190</v>
      </c>
      <c r="Q20" s="7" t="s">
        <v>192</v>
      </c>
      <c r="S20" s="27" t="s">
        <v>156</v>
      </c>
      <c r="T20" s="27" t="s">
        <v>157</v>
      </c>
      <c r="U20" s="27" t="s">
        <v>158</v>
      </c>
      <c r="V20" s="27" t="s">
        <v>143</v>
      </c>
      <c r="W20" s="10" t="str">
        <f t="shared" si="4"/>
        <v>JB</v>
      </c>
      <c r="X20" s="2" t="str">
        <f t="shared" si="1"/>
        <v>KENANGA INVESTMENT BANK BHD - JBJB300000000JB</v>
      </c>
      <c r="Y20" s="27" t="s">
        <v>145</v>
      </c>
      <c r="Z20" s="27" t="s">
        <v>139</v>
      </c>
      <c r="AA20" s="7" t="s">
        <v>190</v>
      </c>
      <c r="AB20" s="7" t="s">
        <v>190</v>
      </c>
      <c r="AC20" s="7" t="s">
        <v>192</v>
      </c>
      <c r="AE20" s="10" t="s">
        <v>159</v>
      </c>
      <c r="AF20" s="2" t="s">
        <v>158</v>
      </c>
      <c r="AG20" s="2" t="s">
        <v>158</v>
      </c>
      <c r="AH20" s="2" t="s">
        <v>143</v>
      </c>
      <c r="AI20" s="10" t="str">
        <f t="shared" si="5"/>
        <v>MHBOS_004JBJB300000000</v>
      </c>
      <c r="AJ20" s="2" t="s">
        <v>145</v>
      </c>
      <c r="AK20" s="2" t="s">
        <v>139</v>
      </c>
      <c r="AL20" s="2" t="s">
        <v>139</v>
      </c>
      <c r="AM20" s="7" t="s">
        <v>190</v>
      </c>
      <c r="AN20" s="7" t="s">
        <v>192</v>
      </c>
      <c r="AT20" s="10" t="str">
        <f t="shared" si="7"/>
        <v/>
      </c>
    </row>
    <row r="21" spans="1:52" x14ac:dyDescent="0.25">
      <c r="B21" s="2" t="s">
        <v>160</v>
      </c>
      <c r="C21" s="2" t="s">
        <v>161</v>
      </c>
      <c r="D21" s="2" t="s">
        <v>162</v>
      </c>
      <c r="E21" s="2" t="s">
        <v>143</v>
      </c>
      <c r="F21" s="2" t="s">
        <v>190</v>
      </c>
      <c r="G21" s="27" t="s">
        <v>192</v>
      </c>
      <c r="I21" s="2" t="s">
        <v>160</v>
      </c>
      <c r="J21" s="2" t="s">
        <v>161</v>
      </c>
      <c r="K21" s="2" t="s">
        <v>162</v>
      </c>
      <c r="L21" s="2" t="s">
        <v>143</v>
      </c>
      <c r="M21" s="2" t="s">
        <v>145</v>
      </c>
      <c r="N21" s="2" t="s">
        <v>139</v>
      </c>
      <c r="O21" s="7" t="s">
        <v>190</v>
      </c>
      <c r="P21" s="7" t="s">
        <v>190</v>
      </c>
      <c r="Q21" s="7" t="s">
        <v>192</v>
      </c>
      <c r="S21" s="27" t="s">
        <v>160</v>
      </c>
      <c r="T21" s="27" t="s">
        <v>161</v>
      </c>
      <c r="U21" s="27" t="s">
        <v>162</v>
      </c>
      <c r="V21" s="27" t="s">
        <v>143</v>
      </c>
      <c r="W21" s="10" t="str">
        <f t="shared" si="4"/>
        <v>PJ</v>
      </c>
      <c r="X21" s="2" t="str">
        <f t="shared" si="1"/>
        <v>KENANGA INVESTMENT BANK BHD - PJPJ300000000PJ</v>
      </c>
      <c r="Y21" s="27" t="s">
        <v>145</v>
      </c>
      <c r="Z21" s="27" t="s">
        <v>139</v>
      </c>
      <c r="AA21" s="7" t="s">
        <v>190</v>
      </c>
      <c r="AB21" s="7" t="s">
        <v>190</v>
      </c>
      <c r="AC21" s="7" t="s">
        <v>192</v>
      </c>
      <c r="AE21" s="10" t="s">
        <v>163</v>
      </c>
      <c r="AF21" s="2" t="s">
        <v>162</v>
      </c>
      <c r="AG21" s="2" t="s">
        <v>162</v>
      </c>
      <c r="AH21" s="2" t="s">
        <v>143</v>
      </c>
      <c r="AI21" s="10" t="str">
        <f t="shared" si="5"/>
        <v>MHBOS_005PJPJ300000000</v>
      </c>
      <c r="AJ21" s="2" t="s">
        <v>145</v>
      </c>
      <c r="AK21" s="2" t="s">
        <v>139</v>
      </c>
      <c r="AL21" s="2" t="s">
        <v>139</v>
      </c>
      <c r="AM21" s="7" t="s">
        <v>190</v>
      </c>
      <c r="AN21" s="7" t="s">
        <v>192</v>
      </c>
      <c r="AT21" s="10" t="str">
        <f t="shared" si="7"/>
        <v/>
      </c>
    </row>
    <row r="22" spans="1:52" x14ac:dyDescent="0.25">
      <c r="B22" s="2" t="s">
        <v>164</v>
      </c>
      <c r="C22" s="2" t="s">
        <v>165</v>
      </c>
      <c r="D22" s="2" t="s">
        <v>166</v>
      </c>
      <c r="E22" s="2" t="s">
        <v>143</v>
      </c>
      <c r="F22" s="2" t="s">
        <v>190</v>
      </c>
      <c r="G22" s="27" t="s">
        <v>192</v>
      </c>
      <c r="I22" s="2" t="s">
        <v>164</v>
      </c>
      <c r="J22" s="2" t="s">
        <v>165</v>
      </c>
      <c r="K22" s="2" t="s">
        <v>166</v>
      </c>
      <c r="L22" s="2" t="s">
        <v>143</v>
      </c>
      <c r="M22" s="2" t="s">
        <v>145</v>
      </c>
      <c r="N22" s="2" t="s">
        <v>139</v>
      </c>
      <c r="O22" s="7" t="s">
        <v>190</v>
      </c>
      <c r="P22" s="7" t="s">
        <v>190</v>
      </c>
      <c r="Q22" s="7" t="s">
        <v>192</v>
      </c>
      <c r="S22" s="27" t="s">
        <v>164</v>
      </c>
      <c r="T22" s="27" t="s">
        <v>165</v>
      </c>
      <c r="U22" s="27" t="s">
        <v>166</v>
      </c>
      <c r="V22" s="27" t="s">
        <v>143</v>
      </c>
      <c r="W22" s="10" t="str">
        <f t="shared" si="4"/>
        <v>USJ</v>
      </c>
      <c r="X22" s="2" t="str">
        <f t="shared" si="1"/>
        <v>KENANGA INVESTMENT BANK BHD - USJUSJ300000000USJ</v>
      </c>
      <c r="Y22" s="27" t="s">
        <v>145</v>
      </c>
      <c r="Z22" s="27" t="s">
        <v>139</v>
      </c>
      <c r="AA22" s="7" t="s">
        <v>190</v>
      </c>
      <c r="AB22" s="7" t="s">
        <v>190</v>
      </c>
      <c r="AC22" s="7" t="s">
        <v>192</v>
      </c>
      <c r="AE22" s="10" t="s">
        <v>167</v>
      </c>
      <c r="AF22" s="2" t="s">
        <v>166</v>
      </c>
      <c r="AG22" s="2" t="s">
        <v>166</v>
      </c>
      <c r="AH22" s="2" t="s">
        <v>143</v>
      </c>
      <c r="AI22" s="10" t="str">
        <f t="shared" si="5"/>
        <v>MHBOS_006USJUSJ300000000</v>
      </c>
      <c r="AJ22" s="2" t="s">
        <v>145</v>
      </c>
      <c r="AK22" s="2" t="s">
        <v>139</v>
      </c>
      <c r="AL22" s="2" t="s">
        <v>139</v>
      </c>
      <c r="AM22" s="7" t="s">
        <v>190</v>
      </c>
      <c r="AN22" s="7" t="s">
        <v>192</v>
      </c>
      <c r="AT22" s="10" t="str">
        <f t="shared" si="7"/>
        <v/>
      </c>
    </row>
    <row r="23" spans="1:52" x14ac:dyDescent="0.25">
      <c r="B23" s="2" t="s">
        <v>168</v>
      </c>
      <c r="C23" s="2" t="s">
        <v>169</v>
      </c>
      <c r="D23" s="2" t="s">
        <v>170</v>
      </c>
      <c r="E23" s="2" t="s">
        <v>143</v>
      </c>
      <c r="F23" s="2" t="s">
        <v>190</v>
      </c>
      <c r="G23" s="27" t="s">
        <v>192</v>
      </c>
      <c r="I23" s="2" t="s">
        <v>168</v>
      </c>
      <c r="J23" s="2" t="s">
        <v>169</v>
      </c>
      <c r="K23" s="2" t="s">
        <v>170</v>
      </c>
      <c r="L23" s="2" t="s">
        <v>143</v>
      </c>
      <c r="M23" s="2" t="s">
        <v>145</v>
      </c>
      <c r="N23" s="2" t="s">
        <v>139</v>
      </c>
      <c r="O23" s="7" t="s">
        <v>190</v>
      </c>
      <c r="P23" s="7" t="s">
        <v>190</v>
      </c>
      <c r="Q23" s="7" t="s">
        <v>192</v>
      </c>
      <c r="S23" s="27" t="s">
        <v>168</v>
      </c>
      <c r="T23" s="27" t="s">
        <v>169</v>
      </c>
      <c r="U23" s="27" t="s">
        <v>170</v>
      </c>
      <c r="V23" s="27" t="s">
        <v>143</v>
      </c>
      <c r="W23" s="10" t="str">
        <f t="shared" si="4"/>
        <v>KLG</v>
      </c>
      <c r="X23" s="2" t="str">
        <f t="shared" si="1"/>
        <v>KENANGA INVESTMENT BANK BHD - KLGKLANG300000000KLG</v>
      </c>
      <c r="Y23" s="27" t="s">
        <v>145</v>
      </c>
      <c r="Z23" s="27" t="s">
        <v>139</v>
      </c>
      <c r="AA23" s="7" t="s">
        <v>190</v>
      </c>
      <c r="AB23" s="7" t="s">
        <v>190</v>
      </c>
      <c r="AC23" s="7" t="s">
        <v>192</v>
      </c>
      <c r="AE23" s="10" t="s">
        <v>171</v>
      </c>
      <c r="AF23" s="2" t="s">
        <v>172</v>
      </c>
      <c r="AG23" s="2" t="s">
        <v>170</v>
      </c>
      <c r="AH23" s="2" t="s">
        <v>143</v>
      </c>
      <c r="AI23" s="10" t="str">
        <f t="shared" si="5"/>
        <v>MHBOS_007KLGKLANG300000000</v>
      </c>
      <c r="AJ23" s="2" t="s">
        <v>145</v>
      </c>
      <c r="AK23" s="2" t="s">
        <v>139</v>
      </c>
      <c r="AL23" s="2" t="s">
        <v>139</v>
      </c>
      <c r="AM23" s="7" t="s">
        <v>190</v>
      </c>
      <c r="AN23" s="7" t="s">
        <v>192</v>
      </c>
      <c r="AT23" s="10" t="str">
        <f t="shared" si="7"/>
        <v/>
      </c>
    </row>
    <row r="24" spans="1:52" x14ac:dyDescent="0.25">
      <c r="B24" s="2" t="s">
        <v>173</v>
      </c>
      <c r="C24" s="2" t="s">
        <v>174</v>
      </c>
      <c r="D24" s="2" t="s">
        <v>175</v>
      </c>
      <c r="E24" s="2" t="s">
        <v>143</v>
      </c>
      <c r="F24" s="2" t="s">
        <v>190</v>
      </c>
      <c r="G24" s="27" t="s">
        <v>192</v>
      </c>
      <c r="I24" s="2" t="s">
        <v>173</v>
      </c>
      <c r="J24" s="2" t="s">
        <v>174</v>
      </c>
      <c r="K24" s="2" t="s">
        <v>175</v>
      </c>
      <c r="L24" s="2" t="s">
        <v>143</v>
      </c>
      <c r="M24" s="2" t="s">
        <v>145</v>
      </c>
      <c r="N24" s="2" t="s">
        <v>139</v>
      </c>
      <c r="O24" s="7" t="s">
        <v>190</v>
      </c>
      <c r="P24" s="7" t="s">
        <v>190</v>
      </c>
      <c r="Q24" s="7" t="s">
        <v>192</v>
      </c>
      <c r="S24" s="27" t="s">
        <v>173</v>
      </c>
      <c r="T24" s="27" t="s">
        <v>174</v>
      </c>
      <c r="U24" s="27" t="s">
        <v>175</v>
      </c>
      <c r="V24" s="27" t="s">
        <v>143</v>
      </c>
      <c r="W24" s="10" t="str">
        <f t="shared" si="4"/>
        <v>MUAR</v>
      </c>
      <c r="X24" s="2" t="str">
        <f t="shared" si="1"/>
        <v>KENANGA INVESTMENT BANK BHD - MUARMUAR300000000MUAR</v>
      </c>
      <c r="Y24" s="27" t="s">
        <v>145</v>
      </c>
      <c r="Z24" s="27" t="s">
        <v>139</v>
      </c>
      <c r="AA24" s="7" t="s">
        <v>190</v>
      </c>
      <c r="AB24" s="7" t="s">
        <v>190</v>
      </c>
      <c r="AC24" s="7" t="s">
        <v>192</v>
      </c>
      <c r="AE24" s="10" t="s">
        <v>176</v>
      </c>
      <c r="AF24" s="2" t="s">
        <v>175</v>
      </c>
      <c r="AG24" s="2" t="s">
        <v>175</v>
      </c>
      <c r="AH24" s="2" t="s">
        <v>143</v>
      </c>
      <c r="AI24" s="10" t="str">
        <f t="shared" si="5"/>
        <v>MHBOS_008MUARMUAR300000000</v>
      </c>
      <c r="AJ24" s="2" t="s">
        <v>145</v>
      </c>
      <c r="AK24" s="2" t="s">
        <v>139</v>
      </c>
      <c r="AL24" s="2" t="s">
        <v>139</v>
      </c>
      <c r="AM24" s="7" t="s">
        <v>190</v>
      </c>
      <c r="AN24" s="7" t="s">
        <v>192</v>
      </c>
      <c r="AT24" s="10" t="str">
        <f t="shared" si="7"/>
        <v/>
      </c>
    </row>
    <row r="25" spans="1:52" x14ac:dyDescent="0.25">
      <c r="B25" s="2" t="s">
        <v>177</v>
      </c>
      <c r="C25" s="2" t="s">
        <v>178</v>
      </c>
      <c r="D25" s="2" t="s">
        <v>179</v>
      </c>
      <c r="E25" s="2" t="s">
        <v>143</v>
      </c>
      <c r="F25" s="2" t="s">
        <v>190</v>
      </c>
      <c r="G25" s="27" t="s">
        <v>192</v>
      </c>
      <c r="I25" s="2" t="s">
        <v>177</v>
      </c>
      <c r="J25" s="2" t="s">
        <v>178</v>
      </c>
      <c r="K25" s="2" t="s">
        <v>179</v>
      </c>
      <c r="L25" s="2" t="s">
        <v>143</v>
      </c>
      <c r="M25" s="2" t="s">
        <v>145</v>
      </c>
      <c r="N25" s="2" t="s">
        <v>139</v>
      </c>
      <c r="O25" s="7" t="s">
        <v>190</v>
      </c>
      <c r="P25" s="7" t="s">
        <v>190</v>
      </c>
      <c r="Q25" s="7" t="s">
        <v>192</v>
      </c>
      <c r="S25" s="27" t="s">
        <v>177</v>
      </c>
      <c r="T25" s="27" t="s">
        <v>178</v>
      </c>
      <c r="U25" s="27" t="s">
        <v>179</v>
      </c>
      <c r="V25" s="27" t="s">
        <v>143</v>
      </c>
      <c r="W25" s="10" t="str">
        <f t="shared" si="4"/>
        <v>SGT</v>
      </c>
      <c r="X25" s="2" t="str">
        <f t="shared" si="1"/>
        <v>KENANGA INVESTMENT BANK BHD - SGTSGAMAT300000000SGT</v>
      </c>
      <c r="Y25" s="27" t="s">
        <v>145</v>
      </c>
      <c r="Z25" s="27" t="s">
        <v>139</v>
      </c>
      <c r="AA25" s="7" t="s">
        <v>190</v>
      </c>
      <c r="AB25" s="7" t="s">
        <v>190</v>
      </c>
      <c r="AC25" s="7" t="s">
        <v>192</v>
      </c>
      <c r="AE25" s="10" t="s">
        <v>180</v>
      </c>
      <c r="AF25" s="2" t="s">
        <v>181</v>
      </c>
      <c r="AG25" s="2" t="s">
        <v>179</v>
      </c>
      <c r="AH25" s="2" t="s">
        <v>143</v>
      </c>
      <c r="AI25" s="10" t="str">
        <f t="shared" si="5"/>
        <v>MHBOS_009SGTSGAMAT300000000</v>
      </c>
      <c r="AJ25" s="2" t="s">
        <v>145</v>
      </c>
      <c r="AK25" s="2" t="s">
        <v>139</v>
      </c>
      <c r="AL25" s="2" t="s">
        <v>139</v>
      </c>
      <c r="AM25" s="7" t="s">
        <v>190</v>
      </c>
      <c r="AN25" s="7" t="s">
        <v>192</v>
      </c>
      <c r="AT25" s="10" t="str">
        <f t="shared" si="7"/>
        <v/>
      </c>
    </row>
    <row r="26" spans="1:52" x14ac:dyDescent="0.25">
      <c r="B26" s="8"/>
      <c r="C26" s="8"/>
      <c r="D26" s="8"/>
      <c r="E26" s="8"/>
      <c r="F26" s="8"/>
      <c r="G26" s="7"/>
      <c r="I26" s="7" t="s">
        <v>182</v>
      </c>
      <c r="J26" s="7" t="s">
        <v>183</v>
      </c>
      <c r="K26" s="7" t="s">
        <v>184</v>
      </c>
      <c r="L26" s="7" t="s">
        <v>143</v>
      </c>
      <c r="M26" s="7" t="s">
        <v>194</v>
      </c>
      <c r="N26" s="7" t="s">
        <v>139</v>
      </c>
      <c r="O26" s="7" t="s">
        <v>190</v>
      </c>
      <c r="P26" s="7" t="s">
        <v>190</v>
      </c>
      <c r="Q26" s="7" t="s">
        <v>192</v>
      </c>
      <c r="S26" s="7" t="s">
        <v>182</v>
      </c>
      <c r="T26" s="7" t="s">
        <v>183</v>
      </c>
      <c r="U26" s="7" t="s">
        <v>184</v>
      </c>
      <c r="V26" s="7" t="s">
        <v>143</v>
      </c>
      <c r="W26" s="14" t="str">
        <f t="shared" si="4"/>
        <v>KLU</v>
      </c>
      <c r="X26" s="7" t="str">
        <f t="shared" si="1"/>
        <v>KENANGA INVESTMENT BANK BHD - KLUKLUANG300000000KLU</v>
      </c>
      <c r="Y26" s="7" t="s">
        <v>194</v>
      </c>
      <c r="Z26" s="7" t="s">
        <v>139</v>
      </c>
      <c r="AA26" s="7" t="s">
        <v>190</v>
      </c>
      <c r="AB26" s="7" t="s">
        <v>190</v>
      </c>
      <c r="AC26" s="7" t="s">
        <v>192</v>
      </c>
      <c r="AE26" s="10" t="s">
        <v>185</v>
      </c>
      <c r="AF26" s="2" t="s">
        <v>186</v>
      </c>
      <c r="AG26" s="2" t="s">
        <v>184</v>
      </c>
      <c r="AH26" s="2" t="s">
        <v>143</v>
      </c>
      <c r="AI26" s="10" t="str">
        <f t="shared" si="5"/>
        <v>MHBOS_010KLUKLUANG300000000</v>
      </c>
      <c r="AJ26" s="7" t="s">
        <v>194</v>
      </c>
      <c r="AK26" s="2" t="s">
        <v>139</v>
      </c>
      <c r="AL26" s="7" t="s">
        <v>190</v>
      </c>
      <c r="AM26" s="7" t="s">
        <v>190</v>
      </c>
      <c r="AN26" s="7" t="s">
        <v>192</v>
      </c>
      <c r="AT26" s="10" t="str">
        <f t="shared" si="7"/>
        <v/>
      </c>
    </row>
  </sheetData>
  <mergeCells count="4">
    <mergeCell ref="P4:Q4"/>
    <mergeCell ref="AB4:AC4"/>
    <mergeCell ref="AM4:AN4"/>
    <mergeCell ref="AP4:AW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B89FC-C682-45C4-BCAA-2981FF072EFF}">
  <dimension ref="A1:AN65"/>
  <sheetViews>
    <sheetView topLeftCell="X62" zoomScale="85" zoomScaleNormal="85" workbookViewId="0">
      <selection activeCell="X62" sqref="X62"/>
    </sheetView>
  </sheetViews>
  <sheetFormatPr defaultColWidth="8.85546875" defaultRowHeight="15" x14ac:dyDescent="0.25"/>
  <cols>
    <col min="1" max="1" width="15.28515625" style="2" customWidth="1"/>
    <col min="2" max="2" width="11.7109375" style="2" bestFit="1" customWidth="1"/>
    <col min="3" max="3" width="8.7109375" style="2" bestFit="1" customWidth="1"/>
    <col min="4" max="4" width="21.7109375" style="2" bestFit="1" customWidth="1"/>
    <col min="5" max="5" width="9.7109375" style="2" bestFit="1" customWidth="1"/>
    <col min="6" max="6" width="15.5703125" style="2" bestFit="1" customWidth="1"/>
    <col min="7" max="7" width="21.7109375" style="2" bestFit="1" customWidth="1"/>
    <col min="8" max="8" width="11.7109375" style="2" bestFit="1" customWidth="1"/>
    <col min="9" max="9" width="15" style="2" bestFit="1" customWidth="1"/>
    <col min="10" max="10" width="3.85546875" style="40" customWidth="1"/>
    <col min="11" max="11" width="10.7109375" style="2" bestFit="1" customWidth="1"/>
    <col min="12" max="12" width="8.7109375" style="2" bestFit="1" customWidth="1"/>
    <col min="13" max="13" width="21.7109375" style="2" bestFit="1" customWidth="1"/>
    <col min="14" max="14" width="9.7109375" style="2" bestFit="1" customWidth="1"/>
    <col min="15" max="15" width="15.5703125" style="2" bestFit="1" customWidth="1"/>
    <col min="16" max="16" width="21.7109375" style="2" bestFit="1" customWidth="1"/>
    <col min="17" max="17" width="9" style="2" customWidth="1"/>
    <col min="18" max="18" width="15" style="2" bestFit="1" customWidth="1"/>
    <col min="19" max="19" width="3.85546875" style="40" customWidth="1"/>
    <col min="20" max="20" width="10.7109375" style="2" bestFit="1" customWidth="1"/>
    <col min="21" max="21" width="8.7109375" style="2" bestFit="1" customWidth="1"/>
    <col min="22" max="22" width="21.7109375" style="2" bestFit="1" customWidth="1"/>
    <col min="23" max="23" width="9.7109375" style="2" bestFit="1" customWidth="1"/>
    <col min="24" max="24" width="15.5703125" style="2" bestFit="1" customWidth="1"/>
    <col min="25" max="25" width="21.7109375" style="2" bestFit="1" customWidth="1"/>
    <col min="26" max="26" width="9" style="2" customWidth="1"/>
    <col min="27" max="27" width="15" style="2" bestFit="1" customWidth="1"/>
    <col min="28" max="28" width="3.85546875" style="40" customWidth="1"/>
    <col min="29" max="29" width="20.5703125" style="2" bestFit="1" customWidth="1"/>
    <col min="30" max="30" width="11.28515625" style="2" bestFit="1" customWidth="1"/>
    <col min="31" max="31" width="21.7109375" style="2" bestFit="1" customWidth="1"/>
    <col min="32" max="32" width="23.5703125" style="2" bestFit="1" customWidth="1"/>
    <col min="33" max="33" width="15.5703125" style="2" bestFit="1" customWidth="1"/>
    <col min="34" max="34" width="21.7109375" style="2" bestFit="1" customWidth="1"/>
    <col min="35" max="35" width="23.5703125" style="2" bestFit="1" customWidth="1"/>
    <col min="36" max="36" width="15" style="2" bestFit="1" customWidth="1"/>
    <col min="37" max="37" width="15.28515625" style="2" bestFit="1" customWidth="1"/>
    <col min="38" max="38" width="18.7109375" style="2" bestFit="1" customWidth="1"/>
    <col min="39" max="39" width="10" style="2" bestFit="1" customWidth="1"/>
    <col min="40" max="40" width="13.28515625" style="2" bestFit="1" customWidth="1"/>
    <col min="41" max="41" width="9.5703125" style="2" bestFit="1" customWidth="1"/>
    <col min="42" max="42" width="9" style="2" bestFit="1" customWidth="1"/>
    <col min="43" max="43" width="10.7109375" style="2" bestFit="1" customWidth="1"/>
    <col min="44" max="16384" width="8.85546875" style="2"/>
  </cols>
  <sheetData>
    <row r="1" spans="1:40" s="48" customFormat="1" x14ac:dyDescent="0.25">
      <c r="A1" s="48" t="s">
        <v>81</v>
      </c>
    </row>
    <row r="2" spans="1:40" s="3" customFormat="1" x14ac:dyDescent="0.25">
      <c r="A2" s="3" t="s">
        <v>198</v>
      </c>
      <c r="J2" s="39"/>
      <c r="S2" s="39"/>
      <c r="AB2" s="39"/>
    </row>
    <row r="3" spans="1:40" s="1" customFormat="1" x14ac:dyDescent="0.25">
      <c r="B3" s="1" t="s">
        <v>57</v>
      </c>
      <c r="J3" s="39"/>
      <c r="K3" s="1" t="s">
        <v>58</v>
      </c>
      <c r="S3" s="39"/>
      <c r="T3" s="1" t="s">
        <v>35</v>
      </c>
      <c r="AB3" s="39"/>
      <c r="AC3" s="1" t="s">
        <v>43</v>
      </c>
    </row>
    <row r="4" spans="1:40" s="1" customFormat="1" x14ac:dyDescent="0.25">
      <c r="H4" s="1" t="s">
        <v>118</v>
      </c>
      <c r="J4" s="39"/>
      <c r="S4" s="39"/>
      <c r="AB4" s="39"/>
    </row>
    <row r="5" spans="1:40" s="1" customFormat="1" x14ac:dyDescent="0.25">
      <c r="A5" s="5"/>
      <c r="B5" s="1" t="s">
        <v>199</v>
      </c>
      <c r="C5" s="1" t="s">
        <v>200</v>
      </c>
      <c r="D5" s="1" t="s">
        <v>201</v>
      </c>
      <c r="E5" s="1" t="s">
        <v>202</v>
      </c>
      <c r="F5" s="1" t="s">
        <v>203</v>
      </c>
      <c r="G5" s="1" t="s">
        <v>204</v>
      </c>
      <c r="H5" s="1" t="s">
        <v>68</v>
      </c>
      <c r="I5" s="1" t="s">
        <v>133</v>
      </c>
      <c r="J5" s="39"/>
      <c r="K5" s="1" t="s">
        <v>199</v>
      </c>
      <c r="L5" s="1" t="s">
        <v>200</v>
      </c>
      <c r="M5" s="1" t="s">
        <v>201</v>
      </c>
      <c r="N5" s="1" t="s">
        <v>202</v>
      </c>
      <c r="O5" s="1" t="s">
        <v>203</v>
      </c>
      <c r="P5" s="1" t="s">
        <v>204</v>
      </c>
      <c r="Q5" s="1" t="s">
        <v>68</v>
      </c>
      <c r="R5" s="1" t="s">
        <v>133</v>
      </c>
      <c r="S5" s="39"/>
      <c r="T5" s="1" t="s">
        <v>199</v>
      </c>
      <c r="U5" s="1" t="s">
        <v>200</v>
      </c>
      <c r="V5" s="1" t="s">
        <v>201</v>
      </c>
      <c r="W5" s="1" t="s">
        <v>202</v>
      </c>
      <c r="X5" s="1" t="s">
        <v>203</v>
      </c>
      <c r="Y5" s="1" t="s">
        <v>204</v>
      </c>
      <c r="Z5" s="1" t="s">
        <v>68</v>
      </c>
      <c r="AA5" s="1" t="s">
        <v>133</v>
      </c>
      <c r="AB5" s="39"/>
      <c r="AC5" s="1" t="s">
        <v>199</v>
      </c>
      <c r="AD5" s="1" t="s">
        <v>205</v>
      </c>
      <c r="AE5" s="1" t="s">
        <v>206</v>
      </c>
      <c r="AF5" s="1" t="s">
        <v>202</v>
      </c>
      <c r="AG5" s="1" t="s">
        <v>203</v>
      </c>
      <c r="AH5" s="1" t="s">
        <v>204</v>
      </c>
      <c r="AI5" s="1" t="s">
        <v>68</v>
      </c>
      <c r="AJ5" s="1" t="s">
        <v>133</v>
      </c>
    </row>
    <row r="6" spans="1:40" s="1" customFormat="1" x14ac:dyDescent="0.25">
      <c r="A6" s="5" t="s">
        <v>139</v>
      </c>
      <c r="B6" s="2" t="s">
        <v>207</v>
      </c>
      <c r="C6" s="2" t="s">
        <v>208</v>
      </c>
      <c r="D6" s="2" t="s">
        <v>209</v>
      </c>
      <c r="E6" s="2" t="s">
        <v>210</v>
      </c>
      <c r="F6" s="2" t="s">
        <v>211</v>
      </c>
      <c r="G6" s="2" t="s">
        <v>212</v>
      </c>
      <c r="H6" s="2" t="s">
        <v>139</v>
      </c>
      <c r="I6" s="2" t="s">
        <v>144</v>
      </c>
      <c r="J6" s="40"/>
      <c r="K6" s="2" t="s">
        <v>207</v>
      </c>
      <c r="L6" s="2" t="s">
        <v>208</v>
      </c>
      <c r="M6" s="2" t="s">
        <v>209</v>
      </c>
      <c r="N6" s="2" t="s">
        <v>210</v>
      </c>
      <c r="O6" s="2" t="s">
        <v>211</v>
      </c>
      <c r="P6" s="2" t="s">
        <v>212</v>
      </c>
      <c r="Q6" s="2" t="s">
        <v>139</v>
      </c>
      <c r="R6" s="2" t="s">
        <v>144</v>
      </c>
      <c r="S6" s="40"/>
      <c r="T6" s="2" t="s">
        <v>207</v>
      </c>
      <c r="U6" s="2" t="s">
        <v>208</v>
      </c>
      <c r="V6" s="2" t="s">
        <v>209</v>
      </c>
      <c r="W6" s="2" t="s">
        <v>210</v>
      </c>
      <c r="X6" s="2" t="s">
        <v>211</v>
      </c>
      <c r="Y6" s="2" t="s">
        <v>212</v>
      </c>
      <c r="Z6" s="2" t="s">
        <v>139</v>
      </c>
      <c r="AA6" s="2" t="s">
        <v>144</v>
      </c>
      <c r="AB6" s="40"/>
      <c r="AC6" s="2" t="s">
        <v>207</v>
      </c>
      <c r="AD6" s="2" t="s">
        <v>208</v>
      </c>
      <c r="AE6" s="2" t="s">
        <v>209</v>
      </c>
      <c r="AF6" s="2" t="s">
        <v>210</v>
      </c>
      <c r="AG6" s="2" t="s">
        <v>211</v>
      </c>
      <c r="AH6" s="2" t="s">
        <v>212</v>
      </c>
      <c r="AI6" s="2" t="s">
        <v>139</v>
      </c>
      <c r="AJ6" s="2" t="s">
        <v>144</v>
      </c>
      <c r="AK6" s="2"/>
      <c r="AL6" s="2"/>
      <c r="AM6" s="2"/>
      <c r="AN6" s="2"/>
    </row>
    <row r="7" spans="1:40" x14ac:dyDescent="0.25">
      <c r="B7" s="2" t="s">
        <v>207</v>
      </c>
      <c r="C7" s="2" t="s">
        <v>213</v>
      </c>
      <c r="D7" s="2" t="s">
        <v>209</v>
      </c>
      <c r="E7" s="2" t="s">
        <v>214</v>
      </c>
      <c r="F7" s="2" t="s">
        <v>215</v>
      </c>
      <c r="G7" s="2" t="s">
        <v>212</v>
      </c>
      <c r="H7" s="2" t="s">
        <v>139</v>
      </c>
      <c r="I7" s="2" t="s">
        <v>144</v>
      </c>
      <c r="K7" s="2" t="s">
        <v>207</v>
      </c>
      <c r="L7" s="2" t="s">
        <v>213</v>
      </c>
      <c r="M7" s="2" t="s">
        <v>209</v>
      </c>
      <c r="N7" s="2" t="s">
        <v>214</v>
      </c>
      <c r="O7" s="2" t="s">
        <v>215</v>
      </c>
      <c r="P7" s="2" t="s">
        <v>212</v>
      </c>
      <c r="Q7" s="2" t="s">
        <v>139</v>
      </c>
      <c r="R7" s="2" t="s">
        <v>144</v>
      </c>
      <c r="T7" s="2" t="s">
        <v>207</v>
      </c>
      <c r="U7" s="2" t="s">
        <v>213</v>
      </c>
      <c r="V7" s="2" t="s">
        <v>209</v>
      </c>
      <c r="W7" s="2" t="s">
        <v>214</v>
      </c>
      <c r="X7" s="2" t="s">
        <v>215</v>
      </c>
      <c r="Y7" s="2" t="s">
        <v>212</v>
      </c>
      <c r="Z7" s="2" t="s">
        <v>139</v>
      </c>
      <c r="AA7" s="2" t="s">
        <v>144</v>
      </c>
      <c r="AC7" s="2" t="s">
        <v>207</v>
      </c>
      <c r="AD7" s="2" t="s">
        <v>213</v>
      </c>
      <c r="AE7" s="2" t="s">
        <v>209</v>
      </c>
      <c r="AF7" s="2" t="s">
        <v>214</v>
      </c>
      <c r="AG7" s="2" t="s">
        <v>215</v>
      </c>
      <c r="AH7" s="2" t="s">
        <v>212</v>
      </c>
      <c r="AI7" s="2" t="s">
        <v>139</v>
      </c>
      <c r="AJ7" s="2" t="s">
        <v>144</v>
      </c>
    </row>
    <row r="8" spans="1:40" x14ac:dyDescent="0.25">
      <c r="B8" s="2" t="s">
        <v>216</v>
      </c>
      <c r="C8" s="2" t="s">
        <v>213</v>
      </c>
      <c r="D8" s="2" t="s">
        <v>209</v>
      </c>
      <c r="E8" s="2" t="s">
        <v>217</v>
      </c>
      <c r="F8" s="2" t="s">
        <v>218</v>
      </c>
      <c r="G8" s="2" t="s">
        <v>212</v>
      </c>
      <c r="H8" s="2" t="s">
        <v>139</v>
      </c>
      <c r="I8" s="2" t="s">
        <v>144</v>
      </c>
      <c r="K8" s="2" t="s">
        <v>216</v>
      </c>
      <c r="L8" s="2" t="s">
        <v>213</v>
      </c>
      <c r="M8" s="2" t="s">
        <v>209</v>
      </c>
      <c r="N8" s="2" t="s">
        <v>217</v>
      </c>
      <c r="O8" s="2" t="s">
        <v>218</v>
      </c>
      <c r="P8" s="2" t="s">
        <v>212</v>
      </c>
      <c r="Q8" s="2" t="s">
        <v>139</v>
      </c>
      <c r="R8" s="2" t="s">
        <v>144</v>
      </c>
      <c r="T8" s="2" t="s">
        <v>216</v>
      </c>
      <c r="U8" s="2" t="s">
        <v>213</v>
      </c>
      <c r="V8" s="2" t="s">
        <v>209</v>
      </c>
      <c r="W8" s="2" t="s">
        <v>217</v>
      </c>
      <c r="X8" s="2" t="s">
        <v>218</v>
      </c>
      <c r="Y8" s="2" t="s">
        <v>212</v>
      </c>
      <c r="Z8" s="2" t="s">
        <v>139</v>
      </c>
      <c r="AA8" s="2" t="s">
        <v>144</v>
      </c>
      <c r="AC8" s="2" t="s">
        <v>216</v>
      </c>
      <c r="AD8" s="2" t="s">
        <v>213</v>
      </c>
      <c r="AE8" s="2" t="s">
        <v>209</v>
      </c>
      <c r="AF8" s="2" t="s">
        <v>217</v>
      </c>
      <c r="AG8" s="2" t="s">
        <v>218</v>
      </c>
      <c r="AH8" s="2" t="s">
        <v>212</v>
      </c>
      <c r="AI8" s="2" t="s">
        <v>139</v>
      </c>
      <c r="AJ8" s="2" t="s">
        <v>144</v>
      </c>
    </row>
    <row r="9" spans="1:40" x14ac:dyDescent="0.25">
      <c r="B9" s="2" t="s">
        <v>219</v>
      </c>
      <c r="C9" s="2" t="s">
        <v>213</v>
      </c>
      <c r="D9" s="2" t="s">
        <v>209</v>
      </c>
      <c r="E9" s="2" t="s">
        <v>214</v>
      </c>
      <c r="F9" s="2" t="s">
        <v>220</v>
      </c>
      <c r="G9" s="2" t="s">
        <v>212</v>
      </c>
      <c r="H9" s="2" t="s">
        <v>139</v>
      </c>
      <c r="I9" s="2" t="s">
        <v>144</v>
      </c>
      <c r="K9" s="2" t="s">
        <v>219</v>
      </c>
      <c r="L9" s="2" t="s">
        <v>213</v>
      </c>
      <c r="M9" s="2" t="s">
        <v>209</v>
      </c>
      <c r="N9" s="2" t="s">
        <v>214</v>
      </c>
      <c r="O9" s="2" t="s">
        <v>220</v>
      </c>
      <c r="P9" s="2" t="s">
        <v>212</v>
      </c>
      <c r="Q9" s="2" t="s">
        <v>139</v>
      </c>
      <c r="R9" s="2" t="s">
        <v>144</v>
      </c>
      <c r="T9" s="2" t="s">
        <v>219</v>
      </c>
      <c r="U9" s="2" t="s">
        <v>213</v>
      </c>
      <c r="V9" s="2" t="s">
        <v>209</v>
      </c>
      <c r="W9" s="2" t="s">
        <v>214</v>
      </c>
      <c r="X9" s="2" t="s">
        <v>220</v>
      </c>
      <c r="Y9" s="2" t="s">
        <v>212</v>
      </c>
      <c r="Z9" s="2" t="s">
        <v>139</v>
      </c>
      <c r="AA9" s="2" t="s">
        <v>144</v>
      </c>
      <c r="AC9" s="2" t="s">
        <v>219</v>
      </c>
      <c r="AD9" s="2" t="s">
        <v>213</v>
      </c>
      <c r="AE9" s="2" t="s">
        <v>209</v>
      </c>
      <c r="AF9" s="2" t="s">
        <v>214</v>
      </c>
      <c r="AG9" s="2" t="s">
        <v>220</v>
      </c>
      <c r="AH9" s="2" t="s">
        <v>212</v>
      </c>
      <c r="AI9" s="2" t="s">
        <v>139</v>
      </c>
      <c r="AJ9" s="2" t="s">
        <v>144</v>
      </c>
    </row>
    <row r="10" spans="1:40" x14ac:dyDescent="0.25">
      <c r="B10" s="2" t="s">
        <v>221</v>
      </c>
      <c r="C10" s="2" t="s">
        <v>222</v>
      </c>
      <c r="D10" s="2" t="s">
        <v>209</v>
      </c>
      <c r="E10" s="2" t="s">
        <v>223</v>
      </c>
      <c r="F10" s="2" t="s">
        <v>224</v>
      </c>
      <c r="G10" s="2" t="s">
        <v>212</v>
      </c>
      <c r="H10" s="2" t="s">
        <v>139</v>
      </c>
      <c r="I10" s="2" t="s">
        <v>144</v>
      </c>
      <c r="K10" s="2" t="s">
        <v>221</v>
      </c>
      <c r="L10" s="2" t="s">
        <v>222</v>
      </c>
      <c r="M10" s="2" t="s">
        <v>209</v>
      </c>
      <c r="N10" s="2" t="s">
        <v>223</v>
      </c>
      <c r="O10" s="2" t="s">
        <v>224</v>
      </c>
      <c r="P10" s="2" t="s">
        <v>212</v>
      </c>
      <c r="Q10" s="2" t="s">
        <v>139</v>
      </c>
      <c r="R10" s="2" t="s">
        <v>144</v>
      </c>
      <c r="T10" s="2" t="s">
        <v>221</v>
      </c>
      <c r="U10" s="2" t="s">
        <v>222</v>
      </c>
      <c r="V10" s="2" t="s">
        <v>209</v>
      </c>
      <c r="W10" s="2" t="s">
        <v>223</v>
      </c>
      <c r="X10" s="2" t="s">
        <v>224</v>
      </c>
      <c r="Y10" s="2" t="s">
        <v>212</v>
      </c>
      <c r="Z10" s="2" t="s">
        <v>139</v>
      </c>
      <c r="AA10" s="2" t="s">
        <v>144</v>
      </c>
      <c r="AC10" s="2" t="s">
        <v>221</v>
      </c>
      <c r="AD10" s="2" t="s">
        <v>222</v>
      </c>
      <c r="AE10" s="2" t="s">
        <v>209</v>
      </c>
      <c r="AF10" s="2" t="s">
        <v>223</v>
      </c>
      <c r="AG10" s="2" t="s">
        <v>224</v>
      </c>
      <c r="AH10" s="2" t="s">
        <v>212</v>
      </c>
      <c r="AI10" s="2" t="s">
        <v>139</v>
      </c>
      <c r="AJ10" s="2" t="s">
        <v>144</v>
      </c>
    </row>
    <row r="11" spans="1:40" x14ac:dyDescent="0.25">
      <c r="B11" s="2" t="s">
        <v>221</v>
      </c>
      <c r="C11" s="2" t="s">
        <v>225</v>
      </c>
      <c r="D11" s="2" t="s">
        <v>209</v>
      </c>
      <c r="E11" s="2" t="s">
        <v>226</v>
      </c>
      <c r="F11" s="2" t="s">
        <v>227</v>
      </c>
      <c r="G11" s="2" t="s">
        <v>212</v>
      </c>
      <c r="H11" s="2" t="s">
        <v>139</v>
      </c>
      <c r="I11" s="2" t="s">
        <v>144</v>
      </c>
      <c r="K11" s="2" t="s">
        <v>221</v>
      </c>
      <c r="L11" s="2" t="s">
        <v>225</v>
      </c>
      <c r="M11" s="2" t="s">
        <v>209</v>
      </c>
      <c r="N11" s="2" t="s">
        <v>226</v>
      </c>
      <c r="O11" s="2" t="s">
        <v>227</v>
      </c>
      <c r="P11" s="2" t="s">
        <v>212</v>
      </c>
      <c r="Q11" s="2" t="s">
        <v>139</v>
      </c>
      <c r="R11" s="2" t="s">
        <v>144</v>
      </c>
      <c r="T11" s="2" t="s">
        <v>221</v>
      </c>
      <c r="U11" s="2" t="s">
        <v>225</v>
      </c>
      <c r="V11" s="2" t="s">
        <v>209</v>
      </c>
      <c r="W11" s="2" t="s">
        <v>226</v>
      </c>
      <c r="X11" s="2" t="s">
        <v>227</v>
      </c>
      <c r="Y11" s="2" t="s">
        <v>212</v>
      </c>
      <c r="Z11" s="2" t="s">
        <v>139</v>
      </c>
      <c r="AA11" s="2" t="s">
        <v>144</v>
      </c>
      <c r="AC11" s="2" t="s">
        <v>221</v>
      </c>
      <c r="AD11" s="2" t="s">
        <v>225</v>
      </c>
      <c r="AE11" s="2" t="s">
        <v>209</v>
      </c>
      <c r="AF11" s="2" t="s">
        <v>226</v>
      </c>
      <c r="AG11" s="2" t="s">
        <v>227</v>
      </c>
      <c r="AH11" s="2" t="s">
        <v>212</v>
      </c>
      <c r="AI11" s="2" t="s">
        <v>139</v>
      </c>
      <c r="AJ11" s="2" t="s">
        <v>144</v>
      </c>
    </row>
    <row r="12" spans="1:40" x14ac:dyDescent="0.25">
      <c r="B12" s="2" t="s">
        <v>228</v>
      </c>
      <c r="C12" s="2" t="s">
        <v>222</v>
      </c>
      <c r="D12" s="2" t="s">
        <v>209</v>
      </c>
      <c r="E12" s="2" t="s">
        <v>229</v>
      </c>
      <c r="F12" s="2" t="s">
        <v>230</v>
      </c>
      <c r="G12" s="2" t="s">
        <v>212</v>
      </c>
      <c r="H12" s="2" t="s">
        <v>139</v>
      </c>
      <c r="I12" s="2" t="s">
        <v>144</v>
      </c>
      <c r="K12" s="2" t="s">
        <v>228</v>
      </c>
      <c r="L12" s="2" t="s">
        <v>222</v>
      </c>
      <c r="M12" s="2" t="s">
        <v>209</v>
      </c>
      <c r="N12" s="2" t="s">
        <v>229</v>
      </c>
      <c r="O12" s="2" t="s">
        <v>230</v>
      </c>
      <c r="P12" s="2" t="s">
        <v>212</v>
      </c>
      <c r="Q12" s="2" t="s">
        <v>139</v>
      </c>
      <c r="R12" s="2" t="s">
        <v>144</v>
      </c>
      <c r="T12" s="2" t="s">
        <v>228</v>
      </c>
      <c r="U12" s="2" t="s">
        <v>222</v>
      </c>
      <c r="V12" s="2" t="s">
        <v>209</v>
      </c>
      <c r="W12" s="2" t="s">
        <v>229</v>
      </c>
      <c r="X12" s="2" t="s">
        <v>230</v>
      </c>
      <c r="Y12" s="2" t="s">
        <v>212</v>
      </c>
      <c r="Z12" s="2" t="s">
        <v>139</v>
      </c>
      <c r="AA12" s="2" t="s">
        <v>144</v>
      </c>
      <c r="AC12" s="2" t="s">
        <v>228</v>
      </c>
      <c r="AD12" s="2" t="s">
        <v>222</v>
      </c>
      <c r="AE12" s="2" t="s">
        <v>209</v>
      </c>
      <c r="AF12" s="2" t="s">
        <v>229</v>
      </c>
      <c r="AG12" s="2" t="s">
        <v>230</v>
      </c>
      <c r="AH12" s="2" t="s">
        <v>212</v>
      </c>
      <c r="AI12" s="2" t="s">
        <v>139</v>
      </c>
      <c r="AJ12" s="2" t="s">
        <v>144</v>
      </c>
    </row>
    <row r="13" spans="1:40" x14ac:dyDescent="0.25">
      <c r="B13" s="2" t="s">
        <v>228</v>
      </c>
      <c r="C13" s="2" t="s">
        <v>225</v>
      </c>
      <c r="D13" s="2" t="s">
        <v>209</v>
      </c>
      <c r="E13" s="2" t="s">
        <v>231</v>
      </c>
      <c r="F13" s="2" t="s">
        <v>232</v>
      </c>
      <c r="G13" s="2" t="s">
        <v>212</v>
      </c>
      <c r="H13" s="2" t="s">
        <v>139</v>
      </c>
      <c r="I13" s="2" t="s">
        <v>144</v>
      </c>
      <c r="K13" s="2" t="s">
        <v>228</v>
      </c>
      <c r="L13" s="2" t="s">
        <v>225</v>
      </c>
      <c r="M13" s="2" t="s">
        <v>209</v>
      </c>
      <c r="N13" s="2" t="s">
        <v>231</v>
      </c>
      <c r="O13" s="2" t="s">
        <v>232</v>
      </c>
      <c r="P13" s="2" t="s">
        <v>212</v>
      </c>
      <c r="Q13" s="2" t="s">
        <v>139</v>
      </c>
      <c r="R13" s="2" t="s">
        <v>144</v>
      </c>
      <c r="T13" s="2" t="s">
        <v>228</v>
      </c>
      <c r="U13" s="2" t="s">
        <v>225</v>
      </c>
      <c r="V13" s="2" t="s">
        <v>209</v>
      </c>
      <c r="W13" s="2" t="s">
        <v>231</v>
      </c>
      <c r="X13" s="2" t="s">
        <v>232</v>
      </c>
      <c r="Y13" s="2" t="s">
        <v>212</v>
      </c>
      <c r="Z13" s="2" t="s">
        <v>139</v>
      </c>
      <c r="AA13" s="2" t="s">
        <v>144</v>
      </c>
      <c r="AC13" s="2" t="s">
        <v>228</v>
      </c>
      <c r="AD13" s="2" t="s">
        <v>225</v>
      </c>
      <c r="AE13" s="2" t="s">
        <v>209</v>
      </c>
      <c r="AF13" s="2" t="s">
        <v>231</v>
      </c>
      <c r="AG13" s="2" t="s">
        <v>232</v>
      </c>
      <c r="AH13" s="2" t="s">
        <v>212</v>
      </c>
      <c r="AI13" s="2" t="s">
        <v>139</v>
      </c>
      <c r="AJ13" s="2" t="s">
        <v>144</v>
      </c>
    </row>
    <row r="14" spans="1:40" x14ac:dyDescent="0.25">
      <c r="B14" s="2" t="s">
        <v>233</v>
      </c>
      <c r="C14" s="2" t="s">
        <v>234</v>
      </c>
      <c r="D14" s="2" t="s">
        <v>209</v>
      </c>
      <c r="E14" s="2" t="s">
        <v>235</v>
      </c>
      <c r="F14" s="2" t="s">
        <v>236</v>
      </c>
      <c r="G14" s="2" t="s">
        <v>212</v>
      </c>
      <c r="H14" s="2" t="s">
        <v>139</v>
      </c>
      <c r="I14" s="2" t="s">
        <v>144</v>
      </c>
      <c r="K14" s="2" t="s">
        <v>233</v>
      </c>
      <c r="L14" s="2" t="s">
        <v>234</v>
      </c>
      <c r="M14" s="2" t="s">
        <v>209</v>
      </c>
      <c r="N14" s="2" t="s">
        <v>235</v>
      </c>
      <c r="O14" s="2" t="s">
        <v>236</v>
      </c>
      <c r="P14" s="2" t="s">
        <v>212</v>
      </c>
      <c r="Q14" s="2" t="s">
        <v>139</v>
      </c>
      <c r="R14" s="2" t="s">
        <v>144</v>
      </c>
      <c r="T14" s="2" t="s">
        <v>233</v>
      </c>
      <c r="U14" s="2" t="s">
        <v>234</v>
      </c>
      <c r="V14" s="2" t="s">
        <v>209</v>
      </c>
      <c r="W14" s="2" t="s">
        <v>235</v>
      </c>
      <c r="X14" s="2" t="s">
        <v>236</v>
      </c>
      <c r="Y14" s="2" t="s">
        <v>212</v>
      </c>
      <c r="Z14" s="2" t="s">
        <v>139</v>
      </c>
      <c r="AA14" s="2" t="s">
        <v>144</v>
      </c>
      <c r="AC14" s="2" t="s">
        <v>233</v>
      </c>
      <c r="AD14" s="2" t="s">
        <v>234</v>
      </c>
      <c r="AE14" s="2" t="s">
        <v>209</v>
      </c>
      <c r="AF14" s="2" t="s">
        <v>235</v>
      </c>
      <c r="AG14" s="2" t="s">
        <v>236</v>
      </c>
      <c r="AH14" s="2" t="s">
        <v>212</v>
      </c>
      <c r="AI14" s="2" t="s">
        <v>139</v>
      </c>
      <c r="AJ14" s="2" t="s">
        <v>144</v>
      </c>
    </row>
    <row r="15" spans="1:40" x14ac:dyDescent="0.25">
      <c r="B15" s="2" t="s">
        <v>237</v>
      </c>
      <c r="C15" s="2" t="s">
        <v>238</v>
      </c>
      <c r="D15" s="2" t="s">
        <v>209</v>
      </c>
      <c r="E15" s="2" t="s">
        <v>239</v>
      </c>
      <c r="F15" s="2" t="s">
        <v>240</v>
      </c>
      <c r="G15" s="2" t="s">
        <v>212</v>
      </c>
      <c r="H15" s="2" t="s">
        <v>139</v>
      </c>
      <c r="I15" s="2" t="s">
        <v>144</v>
      </c>
      <c r="K15" s="2" t="s">
        <v>237</v>
      </c>
      <c r="L15" s="2" t="s">
        <v>238</v>
      </c>
      <c r="M15" s="2" t="s">
        <v>209</v>
      </c>
      <c r="N15" s="2" t="s">
        <v>239</v>
      </c>
      <c r="O15" s="2" t="s">
        <v>240</v>
      </c>
      <c r="P15" s="2" t="s">
        <v>212</v>
      </c>
      <c r="Q15" s="2" t="s">
        <v>139</v>
      </c>
      <c r="R15" s="2" t="s">
        <v>144</v>
      </c>
      <c r="T15" s="2" t="s">
        <v>237</v>
      </c>
      <c r="U15" s="2" t="s">
        <v>238</v>
      </c>
      <c r="V15" s="2" t="s">
        <v>209</v>
      </c>
      <c r="W15" s="2" t="s">
        <v>239</v>
      </c>
      <c r="X15" s="2" t="s">
        <v>240</v>
      </c>
      <c r="Y15" s="2" t="s">
        <v>212</v>
      </c>
      <c r="Z15" s="2" t="s">
        <v>139</v>
      </c>
      <c r="AA15" s="2" t="s">
        <v>144</v>
      </c>
      <c r="AC15" s="2" t="s">
        <v>237</v>
      </c>
      <c r="AD15" s="2" t="s">
        <v>238</v>
      </c>
      <c r="AE15" s="2" t="s">
        <v>209</v>
      </c>
      <c r="AF15" s="2" t="s">
        <v>239</v>
      </c>
      <c r="AG15" s="2" t="s">
        <v>240</v>
      </c>
      <c r="AH15" s="2" t="s">
        <v>212</v>
      </c>
      <c r="AI15" s="2" t="s">
        <v>139</v>
      </c>
      <c r="AJ15" s="2" t="s">
        <v>144</v>
      </c>
    </row>
    <row r="16" spans="1:40" s="6" customFormat="1" x14ac:dyDescent="0.25">
      <c r="B16" s="9" t="s">
        <v>83</v>
      </c>
      <c r="J16" s="40"/>
      <c r="K16" s="9" t="s">
        <v>241</v>
      </c>
      <c r="S16" s="40"/>
      <c r="T16" s="9" t="s">
        <v>241</v>
      </c>
      <c r="AB16" s="40"/>
      <c r="AC16" s="9" t="s">
        <v>241</v>
      </c>
    </row>
    <row r="17" spans="1:40" s="1" customFormat="1" x14ac:dyDescent="0.25">
      <c r="A17" s="5" t="s">
        <v>190</v>
      </c>
      <c r="B17" s="2" t="s">
        <v>207</v>
      </c>
      <c r="C17" s="2" t="s">
        <v>208</v>
      </c>
      <c r="D17" s="2" t="s">
        <v>209</v>
      </c>
      <c r="E17" s="2" t="s">
        <v>210</v>
      </c>
      <c r="F17" s="2" t="s">
        <v>211</v>
      </c>
      <c r="G17" s="2" t="s">
        <v>212</v>
      </c>
      <c r="H17" s="2" t="s">
        <v>190</v>
      </c>
      <c r="I17" s="27" t="s">
        <v>192</v>
      </c>
      <c r="J17" s="40"/>
      <c r="K17" s="27" t="s">
        <v>207</v>
      </c>
      <c r="L17" s="27" t="s">
        <v>208</v>
      </c>
      <c r="M17" s="27" t="s">
        <v>209</v>
      </c>
      <c r="N17" s="27" t="s">
        <v>210</v>
      </c>
      <c r="O17" s="27" t="s">
        <v>211</v>
      </c>
      <c r="P17" s="27" t="s">
        <v>212</v>
      </c>
      <c r="Q17" s="27" t="s">
        <v>190</v>
      </c>
      <c r="R17" s="27" t="s">
        <v>192</v>
      </c>
      <c r="S17" s="40"/>
      <c r="T17" s="27" t="s">
        <v>207</v>
      </c>
      <c r="U17" s="27" t="s">
        <v>208</v>
      </c>
      <c r="V17" s="27" t="s">
        <v>209</v>
      </c>
      <c r="W17" s="27" t="s">
        <v>210</v>
      </c>
      <c r="X17" s="27" t="s">
        <v>211</v>
      </c>
      <c r="Y17" s="27" t="s">
        <v>212</v>
      </c>
      <c r="Z17" s="27" t="s">
        <v>190</v>
      </c>
      <c r="AA17" s="27" t="s">
        <v>192</v>
      </c>
      <c r="AB17" s="40"/>
      <c r="AC17" s="27" t="s">
        <v>207</v>
      </c>
      <c r="AD17" s="27" t="s">
        <v>208</v>
      </c>
      <c r="AE17" s="27" t="s">
        <v>209</v>
      </c>
      <c r="AF17" s="27" t="s">
        <v>210</v>
      </c>
      <c r="AG17" s="27" t="s">
        <v>211</v>
      </c>
      <c r="AH17" s="27" t="s">
        <v>212</v>
      </c>
      <c r="AI17" s="27" t="s">
        <v>190</v>
      </c>
      <c r="AJ17" s="27" t="s">
        <v>192</v>
      </c>
      <c r="AK17" s="2"/>
      <c r="AL17" s="2"/>
      <c r="AM17" s="2"/>
      <c r="AN17" s="2"/>
    </row>
    <row r="18" spans="1:40" x14ac:dyDescent="0.25">
      <c r="B18" s="2" t="s">
        <v>207</v>
      </c>
      <c r="C18" s="2" t="s">
        <v>213</v>
      </c>
      <c r="D18" s="2" t="s">
        <v>209</v>
      </c>
      <c r="E18" s="2" t="s">
        <v>214</v>
      </c>
      <c r="F18" s="2" t="s">
        <v>215</v>
      </c>
      <c r="G18" s="2" t="s">
        <v>212</v>
      </c>
      <c r="H18" s="2" t="s">
        <v>190</v>
      </c>
      <c r="I18" s="27" t="s">
        <v>192</v>
      </c>
      <c r="K18" s="27" t="s">
        <v>207</v>
      </c>
      <c r="L18" s="27" t="s">
        <v>213</v>
      </c>
      <c r="M18" s="27" t="s">
        <v>209</v>
      </c>
      <c r="N18" s="27" t="s">
        <v>214</v>
      </c>
      <c r="O18" s="27" t="s">
        <v>215</v>
      </c>
      <c r="P18" s="27" t="s">
        <v>212</v>
      </c>
      <c r="Q18" s="27" t="s">
        <v>190</v>
      </c>
      <c r="R18" s="27" t="s">
        <v>192</v>
      </c>
      <c r="T18" s="27" t="s">
        <v>207</v>
      </c>
      <c r="U18" s="27" t="s">
        <v>213</v>
      </c>
      <c r="V18" s="27" t="s">
        <v>209</v>
      </c>
      <c r="W18" s="27" t="s">
        <v>214</v>
      </c>
      <c r="X18" s="27" t="s">
        <v>215</v>
      </c>
      <c r="Y18" s="27" t="s">
        <v>212</v>
      </c>
      <c r="Z18" s="27" t="s">
        <v>190</v>
      </c>
      <c r="AA18" s="27" t="s">
        <v>192</v>
      </c>
      <c r="AC18" s="27" t="s">
        <v>207</v>
      </c>
      <c r="AD18" s="27" t="s">
        <v>213</v>
      </c>
      <c r="AE18" s="27" t="s">
        <v>209</v>
      </c>
      <c r="AF18" s="27" t="s">
        <v>214</v>
      </c>
      <c r="AG18" s="27" t="s">
        <v>215</v>
      </c>
      <c r="AH18" s="27" t="s">
        <v>212</v>
      </c>
      <c r="AI18" s="27" t="s">
        <v>190</v>
      </c>
      <c r="AJ18" s="27" t="s">
        <v>192</v>
      </c>
    </row>
    <row r="19" spans="1:40" x14ac:dyDescent="0.25">
      <c r="B19" s="2" t="s">
        <v>216</v>
      </c>
      <c r="C19" s="2" t="s">
        <v>213</v>
      </c>
      <c r="D19" s="2" t="s">
        <v>209</v>
      </c>
      <c r="E19" s="2" t="s">
        <v>217</v>
      </c>
      <c r="F19" s="2" t="s">
        <v>218</v>
      </c>
      <c r="G19" s="2" t="s">
        <v>212</v>
      </c>
      <c r="H19" s="2" t="s">
        <v>190</v>
      </c>
      <c r="I19" s="27" t="s">
        <v>192</v>
      </c>
      <c r="K19" s="27" t="s">
        <v>216</v>
      </c>
      <c r="L19" s="27" t="s">
        <v>213</v>
      </c>
      <c r="M19" s="27" t="s">
        <v>209</v>
      </c>
      <c r="N19" s="27" t="s">
        <v>217</v>
      </c>
      <c r="O19" s="27" t="s">
        <v>218</v>
      </c>
      <c r="P19" s="27" t="s">
        <v>212</v>
      </c>
      <c r="Q19" s="27" t="s">
        <v>190</v>
      </c>
      <c r="R19" s="27" t="s">
        <v>192</v>
      </c>
      <c r="T19" s="27" t="s">
        <v>216</v>
      </c>
      <c r="U19" s="27" t="s">
        <v>213</v>
      </c>
      <c r="V19" s="27" t="s">
        <v>209</v>
      </c>
      <c r="W19" s="27" t="s">
        <v>217</v>
      </c>
      <c r="X19" s="27" t="s">
        <v>218</v>
      </c>
      <c r="Y19" s="27" t="s">
        <v>212</v>
      </c>
      <c r="Z19" s="27" t="s">
        <v>190</v>
      </c>
      <c r="AA19" s="27" t="s">
        <v>192</v>
      </c>
      <c r="AC19" s="27" t="s">
        <v>216</v>
      </c>
      <c r="AD19" s="27" t="s">
        <v>213</v>
      </c>
      <c r="AE19" s="27" t="s">
        <v>209</v>
      </c>
      <c r="AF19" s="27" t="s">
        <v>217</v>
      </c>
      <c r="AG19" s="27" t="s">
        <v>218</v>
      </c>
      <c r="AH19" s="27" t="s">
        <v>212</v>
      </c>
      <c r="AI19" s="27" t="s">
        <v>190</v>
      </c>
      <c r="AJ19" s="27" t="s">
        <v>192</v>
      </c>
    </row>
    <row r="20" spans="1:40" x14ac:dyDescent="0.25">
      <c r="B20" s="2" t="s">
        <v>219</v>
      </c>
      <c r="C20" s="2" t="s">
        <v>213</v>
      </c>
      <c r="D20" s="2" t="s">
        <v>209</v>
      </c>
      <c r="E20" s="2" t="s">
        <v>214</v>
      </c>
      <c r="F20" s="2" t="s">
        <v>220</v>
      </c>
      <c r="G20" s="2" t="s">
        <v>212</v>
      </c>
      <c r="H20" s="2" t="s">
        <v>190</v>
      </c>
      <c r="I20" s="27" t="s">
        <v>192</v>
      </c>
      <c r="K20" s="27" t="s">
        <v>219</v>
      </c>
      <c r="L20" s="27" t="s">
        <v>213</v>
      </c>
      <c r="M20" s="27" t="s">
        <v>209</v>
      </c>
      <c r="N20" s="27" t="s">
        <v>214</v>
      </c>
      <c r="O20" s="27" t="s">
        <v>220</v>
      </c>
      <c r="P20" s="27" t="s">
        <v>212</v>
      </c>
      <c r="Q20" s="27" t="s">
        <v>190</v>
      </c>
      <c r="R20" s="27" t="s">
        <v>192</v>
      </c>
      <c r="T20" s="27" t="s">
        <v>219</v>
      </c>
      <c r="U20" s="27" t="s">
        <v>213</v>
      </c>
      <c r="V20" s="27" t="s">
        <v>209</v>
      </c>
      <c r="W20" s="27" t="s">
        <v>214</v>
      </c>
      <c r="X20" s="27" t="s">
        <v>220</v>
      </c>
      <c r="Y20" s="27" t="s">
        <v>212</v>
      </c>
      <c r="Z20" s="27" t="s">
        <v>190</v>
      </c>
      <c r="AA20" s="27" t="s">
        <v>192</v>
      </c>
      <c r="AC20" s="27" t="s">
        <v>219</v>
      </c>
      <c r="AD20" s="27" t="s">
        <v>213</v>
      </c>
      <c r="AE20" s="27" t="s">
        <v>209</v>
      </c>
      <c r="AF20" s="27" t="s">
        <v>214</v>
      </c>
      <c r="AG20" s="27" t="s">
        <v>220</v>
      </c>
      <c r="AH20" s="27" t="s">
        <v>212</v>
      </c>
      <c r="AI20" s="27" t="s">
        <v>190</v>
      </c>
      <c r="AJ20" s="27" t="s">
        <v>192</v>
      </c>
    </row>
    <row r="21" spans="1:40" x14ac:dyDescent="0.25">
      <c r="B21" s="2" t="s">
        <v>221</v>
      </c>
      <c r="C21" s="2" t="s">
        <v>222</v>
      </c>
      <c r="D21" s="2" t="s">
        <v>209</v>
      </c>
      <c r="E21" s="2" t="s">
        <v>223</v>
      </c>
      <c r="F21" s="2" t="s">
        <v>224</v>
      </c>
      <c r="G21" s="2" t="s">
        <v>212</v>
      </c>
      <c r="H21" s="2" t="s">
        <v>190</v>
      </c>
      <c r="I21" s="27" t="s">
        <v>192</v>
      </c>
      <c r="K21" s="27" t="s">
        <v>221</v>
      </c>
      <c r="L21" s="27" t="s">
        <v>222</v>
      </c>
      <c r="M21" s="27" t="s">
        <v>209</v>
      </c>
      <c r="N21" s="27" t="s">
        <v>223</v>
      </c>
      <c r="O21" s="27" t="s">
        <v>224</v>
      </c>
      <c r="P21" s="27" t="s">
        <v>212</v>
      </c>
      <c r="Q21" s="27" t="s">
        <v>190</v>
      </c>
      <c r="R21" s="27" t="s">
        <v>192</v>
      </c>
      <c r="T21" s="27" t="s">
        <v>221</v>
      </c>
      <c r="U21" s="27" t="s">
        <v>222</v>
      </c>
      <c r="V21" s="27" t="s">
        <v>209</v>
      </c>
      <c r="W21" s="27" t="s">
        <v>223</v>
      </c>
      <c r="X21" s="27" t="s">
        <v>224</v>
      </c>
      <c r="Y21" s="27" t="s">
        <v>212</v>
      </c>
      <c r="Z21" s="27" t="s">
        <v>190</v>
      </c>
      <c r="AA21" s="27" t="s">
        <v>192</v>
      </c>
      <c r="AC21" s="27" t="s">
        <v>221</v>
      </c>
      <c r="AD21" s="27" t="s">
        <v>222</v>
      </c>
      <c r="AE21" s="27" t="s">
        <v>209</v>
      </c>
      <c r="AF21" s="27" t="s">
        <v>223</v>
      </c>
      <c r="AG21" s="27" t="s">
        <v>224</v>
      </c>
      <c r="AH21" s="27" t="s">
        <v>212</v>
      </c>
      <c r="AI21" s="27" t="s">
        <v>190</v>
      </c>
      <c r="AJ21" s="27" t="s">
        <v>192</v>
      </c>
    </row>
    <row r="22" spans="1:40" x14ac:dyDescent="0.25">
      <c r="B22" s="2" t="s">
        <v>221</v>
      </c>
      <c r="C22" s="2" t="s">
        <v>225</v>
      </c>
      <c r="D22" s="2" t="s">
        <v>209</v>
      </c>
      <c r="E22" s="2" t="s">
        <v>226</v>
      </c>
      <c r="F22" s="2" t="s">
        <v>227</v>
      </c>
      <c r="G22" s="2" t="s">
        <v>212</v>
      </c>
      <c r="H22" s="2" t="s">
        <v>190</v>
      </c>
      <c r="I22" s="27" t="s">
        <v>192</v>
      </c>
      <c r="K22" s="27" t="s">
        <v>221</v>
      </c>
      <c r="L22" s="27" t="s">
        <v>225</v>
      </c>
      <c r="M22" s="27" t="s">
        <v>209</v>
      </c>
      <c r="N22" s="27" t="s">
        <v>226</v>
      </c>
      <c r="O22" s="27" t="s">
        <v>227</v>
      </c>
      <c r="P22" s="27" t="s">
        <v>212</v>
      </c>
      <c r="Q22" s="27" t="s">
        <v>190</v>
      </c>
      <c r="R22" s="27" t="s">
        <v>192</v>
      </c>
      <c r="T22" s="27" t="s">
        <v>221</v>
      </c>
      <c r="U22" s="27" t="s">
        <v>225</v>
      </c>
      <c r="V22" s="27" t="s">
        <v>209</v>
      </c>
      <c r="W22" s="27" t="s">
        <v>226</v>
      </c>
      <c r="X22" s="27" t="s">
        <v>227</v>
      </c>
      <c r="Y22" s="27" t="s">
        <v>212</v>
      </c>
      <c r="Z22" s="27" t="s">
        <v>190</v>
      </c>
      <c r="AA22" s="27" t="s">
        <v>192</v>
      </c>
      <c r="AC22" s="27" t="s">
        <v>221</v>
      </c>
      <c r="AD22" s="27" t="s">
        <v>225</v>
      </c>
      <c r="AE22" s="27" t="s">
        <v>209</v>
      </c>
      <c r="AF22" s="27" t="s">
        <v>226</v>
      </c>
      <c r="AG22" s="27" t="s">
        <v>227</v>
      </c>
      <c r="AH22" s="27" t="s">
        <v>212</v>
      </c>
      <c r="AI22" s="27" t="s">
        <v>190</v>
      </c>
      <c r="AJ22" s="27" t="s">
        <v>192</v>
      </c>
    </row>
    <row r="23" spans="1:40" x14ac:dyDescent="0.25">
      <c r="B23" s="2" t="s">
        <v>228</v>
      </c>
      <c r="C23" s="2" t="s">
        <v>222</v>
      </c>
      <c r="D23" s="2" t="s">
        <v>209</v>
      </c>
      <c r="E23" s="2" t="s">
        <v>229</v>
      </c>
      <c r="F23" s="2" t="s">
        <v>230</v>
      </c>
      <c r="G23" s="2" t="s">
        <v>212</v>
      </c>
      <c r="H23" s="2" t="s">
        <v>190</v>
      </c>
      <c r="I23" s="27" t="s">
        <v>192</v>
      </c>
      <c r="K23" s="27" t="s">
        <v>228</v>
      </c>
      <c r="L23" s="27" t="s">
        <v>222</v>
      </c>
      <c r="M23" s="27" t="s">
        <v>209</v>
      </c>
      <c r="N23" s="27" t="s">
        <v>229</v>
      </c>
      <c r="O23" s="27" t="s">
        <v>230</v>
      </c>
      <c r="P23" s="27" t="s">
        <v>212</v>
      </c>
      <c r="Q23" s="27" t="s">
        <v>190</v>
      </c>
      <c r="R23" s="27" t="s">
        <v>192</v>
      </c>
      <c r="T23" s="27" t="s">
        <v>228</v>
      </c>
      <c r="U23" s="27" t="s">
        <v>222</v>
      </c>
      <c r="V23" s="27" t="s">
        <v>209</v>
      </c>
      <c r="W23" s="27" t="s">
        <v>229</v>
      </c>
      <c r="X23" s="27" t="s">
        <v>230</v>
      </c>
      <c r="Y23" s="27" t="s">
        <v>212</v>
      </c>
      <c r="Z23" s="27" t="s">
        <v>190</v>
      </c>
      <c r="AA23" s="27" t="s">
        <v>192</v>
      </c>
      <c r="AC23" s="27" t="s">
        <v>228</v>
      </c>
      <c r="AD23" s="27" t="s">
        <v>222</v>
      </c>
      <c r="AE23" s="27" t="s">
        <v>209</v>
      </c>
      <c r="AF23" s="27" t="s">
        <v>229</v>
      </c>
      <c r="AG23" s="27" t="s">
        <v>230</v>
      </c>
      <c r="AH23" s="27" t="s">
        <v>212</v>
      </c>
      <c r="AI23" s="27" t="s">
        <v>190</v>
      </c>
      <c r="AJ23" s="27" t="s">
        <v>192</v>
      </c>
    </row>
    <row r="24" spans="1:40" x14ac:dyDescent="0.25">
      <c r="B24" s="2" t="s">
        <v>228</v>
      </c>
      <c r="C24" s="2" t="s">
        <v>225</v>
      </c>
      <c r="D24" s="2" t="s">
        <v>209</v>
      </c>
      <c r="E24" s="2" t="s">
        <v>231</v>
      </c>
      <c r="F24" s="7" t="s">
        <v>242</v>
      </c>
      <c r="G24" s="2" t="s">
        <v>212</v>
      </c>
      <c r="H24" s="2" t="s">
        <v>190</v>
      </c>
      <c r="I24" s="27" t="s">
        <v>192</v>
      </c>
      <c r="K24" s="27" t="s">
        <v>228</v>
      </c>
      <c r="L24" s="27" t="s">
        <v>225</v>
      </c>
      <c r="M24" s="27" t="s">
        <v>209</v>
      </c>
      <c r="N24" s="27" t="s">
        <v>231</v>
      </c>
      <c r="O24" s="27" t="s">
        <v>242</v>
      </c>
      <c r="P24" s="27" t="s">
        <v>212</v>
      </c>
      <c r="Q24" s="27" t="s">
        <v>190</v>
      </c>
      <c r="R24" s="27" t="s">
        <v>192</v>
      </c>
      <c r="T24" s="27" t="s">
        <v>228</v>
      </c>
      <c r="U24" s="27" t="s">
        <v>225</v>
      </c>
      <c r="V24" s="27" t="s">
        <v>209</v>
      </c>
      <c r="W24" s="27" t="s">
        <v>231</v>
      </c>
      <c r="X24" s="27" t="s">
        <v>242</v>
      </c>
      <c r="Y24" s="27" t="s">
        <v>212</v>
      </c>
      <c r="Z24" s="27" t="s">
        <v>190</v>
      </c>
      <c r="AA24" s="27" t="s">
        <v>192</v>
      </c>
      <c r="AC24" s="27" t="s">
        <v>228</v>
      </c>
      <c r="AD24" s="27" t="s">
        <v>225</v>
      </c>
      <c r="AE24" s="27" t="s">
        <v>209</v>
      </c>
      <c r="AF24" s="27" t="s">
        <v>231</v>
      </c>
      <c r="AG24" s="27" t="s">
        <v>242</v>
      </c>
      <c r="AH24" s="27" t="s">
        <v>212</v>
      </c>
      <c r="AI24" s="27" t="s">
        <v>190</v>
      </c>
      <c r="AJ24" s="27" t="s">
        <v>192</v>
      </c>
    </row>
    <row r="25" spans="1:40" x14ac:dyDescent="0.25">
      <c r="B25" s="2" t="s">
        <v>233</v>
      </c>
      <c r="C25" s="2" t="s">
        <v>234</v>
      </c>
      <c r="D25" s="2" t="s">
        <v>209</v>
      </c>
      <c r="E25" s="7" t="s">
        <v>243</v>
      </c>
      <c r="F25" s="2" t="s">
        <v>236</v>
      </c>
      <c r="G25" s="2" t="s">
        <v>212</v>
      </c>
      <c r="H25" s="2" t="s">
        <v>190</v>
      </c>
      <c r="I25" s="27" t="s">
        <v>192</v>
      </c>
      <c r="K25" s="27" t="s">
        <v>233</v>
      </c>
      <c r="L25" s="27" t="s">
        <v>234</v>
      </c>
      <c r="M25" s="27" t="s">
        <v>209</v>
      </c>
      <c r="N25" s="27" t="s">
        <v>243</v>
      </c>
      <c r="O25" s="27" t="s">
        <v>236</v>
      </c>
      <c r="P25" s="27" t="s">
        <v>212</v>
      </c>
      <c r="Q25" s="27" t="s">
        <v>190</v>
      </c>
      <c r="R25" s="27" t="s">
        <v>192</v>
      </c>
      <c r="T25" s="27" t="s">
        <v>233</v>
      </c>
      <c r="U25" s="27" t="s">
        <v>234</v>
      </c>
      <c r="V25" s="27" t="s">
        <v>209</v>
      </c>
      <c r="W25" s="27" t="s">
        <v>243</v>
      </c>
      <c r="X25" s="27" t="s">
        <v>236</v>
      </c>
      <c r="Y25" s="27" t="s">
        <v>212</v>
      </c>
      <c r="Z25" s="27" t="s">
        <v>190</v>
      </c>
      <c r="AA25" s="27" t="s">
        <v>192</v>
      </c>
      <c r="AC25" s="27" t="s">
        <v>233</v>
      </c>
      <c r="AD25" s="27" t="s">
        <v>234</v>
      </c>
      <c r="AE25" s="27" t="s">
        <v>209</v>
      </c>
      <c r="AF25" s="27" t="s">
        <v>243</v>
      </c>
      <c r="AG25" s="27" t="s">
        <v>236</v>
      </c>
      <c r="AH25" s="27" t="s">
        <v>212</v>
      </c>
      <c r="AI25" s="27" t="s">
        <v>190</v>
      </c>
      <c r="AJ25" s="27" t="s">
        <v>192</v>
      </c>
    </row>
    <row r="26" spans="1:40" x14ac:dyDescent="0.25">
      <c r="T26" s="27"/>
      <c r="U26" s="27"/>
      <c r="V26" s="27"/>
      <c r="W26" s="27"/>
      <c r="X26" s="27"/>
      <c r="Y26" s="27"/>
      <c r="Z26" s="27"/>
    </row>
    <row r="31" spans="1:40" x14ac:dyDescent="0.25">
      <c r="A31" s="48" t="s">
        <v>244</v>
      </c>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row>
    <row r="32" spans="1:40" x14ac:dyDescent="0.25">
      <c r="A32" s="3" t="s">
        <v>198</v>
      </c>
      <c r="B32" s="3"/>
      <c r="C32" s="3"/>
      <c r="D32" s="3"/>
      <c r="E32" s="3"/>
      <c r="F32" s="3"/>
      <c r="G32" s="3"/>
      <c r="H32" s="3"/>
      <c r="I32" s="3"/>
      <c r="J32" s="39"/>
      <c r="K32" s="3"/>
      <c r="L32" s="3"/>
      <c r="M32" s="3"/>
      <c r="N32" s="3"/>
      <c r="O32" s="3"/>
      <c r="P32" s="3"/>
      <c r="Q32" s="3"/>
      <c r="R32" s="3"/>
      <c r="S32" s="39"/>
      <c r="T32" s="3"/>
      <c r="U32" s="3"/>
      <c r="V32" s="3"/>
      <c r="W32" s="3"/>
      <c r="X32" s="3"/>
      <c r="Y32" s="3"/>
      <c r="Z32" s="3"/>
      <c r="AA32" s="3"/>
      <c r="AB32" s="39"/>
      <c r="AC32" s="3"/>
      <c r="AD32" s="3"/>
      <c r="AE32" s="3"/>
      <c r="AF32" s="3"/>
      <c r="AG32" s="3"/>
      <c r="AH32" s="3"/>
      <c r="AI32" s="3"/>
      <c r="AJ32" s="3"/>
      <c r="AK32" s="3"/>
      <c r="AL32" s="3"/>
      <c r="AM32" s="3"/>
      <c r="AN32" s="3"/>
    </row>
    <row r="33" spans="1:40" x14ac:dyDescent="0.25">
      <c r="A33" s="1"/>
      <c r="B33" s="1" t="s">
        <v>57</v>
      </c>
      <c r="C33" s="1"/>
      <c r="D33" s="1"/>
      <c r="E33" s="1"/>
      <c r="F33" s="1"/>
      <c r="G33" s="1"/>
      <c r="H33" s="1"/>
      <c r="I33" s="1"/>
      <c r="J33" s="39"/>
      <c r="K33" s="1" t="s">
        <v>58</v>
      </c>
      <c r="L33" s="1"/>
      <c r="M33" s="1"/>
      <c r="N33" s="1"/>
      <c r="O33" s="1"/>
      <c r="P33" s="1"/>
      <c r="Q33" s="1"/>
      <c r="R33" s="1"/>
      <c r="S33" s="39"/>
      <c r="T33" s="1" t="s">
        <v>35</v>
      </c>
      <c r="U33" s="1"/>
      <c r="V33" s="1"/>
      <c r="W33" s="1"/>
      <c r="X33" s="1"/>
      <c r="Y33" s="1"/>
      <c r="Z33" s="1"/>
      <c r="AA33" s="1"/>
      <c r="AB33" s="39"/>
      <c r="AC33" s="1" t="s">
        <v>43</v>
      </c>
      <c r="AD33" s="1"/>
      <c r="AE33" s="1"/>
      <c r="AF33" s="1"/>
      <c r="AG33" s="1"/>
      <c r="AH33" s="1"/>
      <c r="AI33" s="1"/>
      <c r="AJ33" s="1"/>
      <c r="AK33" s="1"/>
      <c r="AL33" s="1"/>
      <c r="AM33" s="1"/>
      <c r="AN33" s="1"/>
    </row>
    <row r="34" spans="1:40" x14ac:dyDescent="0.25">
      <c r="A34" s="1"/>
      <c r="B34" s="1"/>
      <c r="C34" s="1"/>
      <c r="D34" s="1"/>
      <c r="E34" s="1"/>
      <c r="F34" s="1"/>
      <c r="G34" s="1"/>
      <c r="H34" s="1" t="s">
        <v>118</v>
      </c>
      <c r="I34" s="1"/>
      <c r="J34" s="39"/>
      <c r="K34" s="1"/>
      <c r="L34" s="1"/>
      <c r="M34" s="1"/>
      <c r="N34" s="1"/>
      <c r="O34" s="1"/>
      <c r="P34" s="1"/>
      <c r="Q34" s="1"/>
      <c r="R34" s="1"/>
      <c r="S34" s="39"/>
      <c r="T34" s="1"/>
      <c r="U34" s="1"/>
      <c r="V34" s="1"/>
      <c r="W34" s="1"/>
      <c r="X34" s="1"/>
      <c r="Y34" s="1"/>
      <c r="Z34" s="1"/>
      <c r="AA34" s="1"/>
      <c r="AB34" s="39"/>
      <c r="AC34" s="1" t="s">
        <v>118</v>
      </c>
      <c r="AD34" s="1"/>
      <c r="AE34" s="1"/>
      <c r="AF34" s="1"/>
      <c r="AG34" s="1"/>
      <c r="AH34" s="1"/>
      <c r="AI34" s="1"/>
      <c r="AJ34" s="1"/>
      <c r="AK34" s="1"/>
      <c r="AL34" s="1"/>
      <c r="AM34" s="1"/>
      <c r="AN34" s="1"/>
    </row>
    <row r="35" spans="1:40" x14ac:dyDescent="0.25">
      <c r="A35" s="5"/>
      <c r="B35" s="1" t="s">
        <v>199</v>
      </c>
      <c r="C35" s="1" t="s">
        <v>200</v>
      </c>
      <c r="D35" s="1" t="s">
        <v>201</v>
      </c>
      <c r="E35" s="1" t="s">
        <v>202</v>
      </c>
      <c r="F35" s="1" t="s">
        <v>203</v>
      </c>
      <c r="G35" s="1" t="s">
        <v>204</v>
      </c>
      <c r="H35" s="1" t="s">
        <v>68</v>
      </c>
      <c r="I35" s="1" t="s">
        <v>133</v>
      </c>
      <c r="J35" s="39"/>
      <c r="K35" s="1" t="s">
        <v>199</v>
      </c>
      <c r="L35" s="1" t="s">
        <v>200</v>
      </c>
      <c r="M35" s="1" t="s">
        <v>201</v>
      </c>
      <c r="N35" s="1" t="s">
        <v>202</v>
      </c>
      <c r="O35" s="1" t="s">
        <v>203</v>
      </c>
      <c r="P35" s="1" t="s">
        <v>204</v>
      </c>
      <c r="Q35" s="1" t="s">
        <v>68</v>
      </c>
      <c r="R35" s="1" t="s">
        <v>133</v>
      </c>
      <c r="S35" s="39"/>
      <c r="T35" s="1" t="s">
        <v>199</v>
      </c>
      <c r="U35" s="1" t="s">
        <v>200</v>
      </c>
      <c r="V35" s="1" t="s">
        <v>201</v>
      </c>
      <c r="W35" s="1" t="s">
        <v>202</v>
      </c>
      <c r="X35" s="1" t="s">
        <v>203</v>
      </c>
      <c r="Y35" s="1" t="s">
        <v>204</v>
      </c>
      <c r="Z35" s="1" t="s">
        <v>68</v>
      </c>
      <c r="AA35" s="1" t="s">
        <v>133</v>
      </c>
      <c r="AB35" s="39"/>
      <c r="AC35" s="1" t="s">
        <v>245</v>
      </c>
      <c r="AD35" s="1" t="s">
        <v>199</v>
      </c>
      <c r="AE35" s="1" t="s">
        <v>205</v>
      </c>
      <c r="AF35" s="1" t="s">
        <v>206</v>
      </c>
      <c r="AG35" s="1" t="s">
        <v>202</v>
      </c>
      <c r="AH35" s="1" t="s">
        <v>203</v>
      </c>
      <c r="AI35" s="1" t="s">
        <v>204</v>
      </c>
      <c r="AJ35" s="1" t="s">
        <v>68</v>
      </c>
      <c r="AK35" s="1" t="s">
        <v>133</v>
      </c>
      <c r="AL35" s="1"/>
      <c r="AM35" s="1"/>
      <c r="AN35" s="1"/>
    </row>
    <row r="36" spans="1:40" x14ac:dyDescent="0.25">
      <c r="A36" s="5" t="s">
        <v>139</v>
      </c>
      <c r="B36" s="2" t="s">
        <v>207</v>
      </c>
      <c r="C36" s="2" t="s">
        <v>208</v>
      </c>
      <c r="D36" s="2" t="s">
        <v>209</v>
      </c>
      <c r="E36" s="2" t="s">
        <v>210</v>
      </c>
      <c r="F36" s="2" t="s">
        <v>211</v>
      </c>
      <c r="G36" s="2" t="s">
        <v>212</v>
      </c>
      <c r="H36" s="2" t="s">
        <v>139</v>
      </c>
      <c r="I36" s="2" t="s">
        <v>144</v>
      </c>
      <c r="K36" s="2" t="s">
        <v>207</v>
      </c>
      <c r="L36" s="2" t="s">
        <v>208</v>
      </c>
      <c r="M36" s="2" t="s">
        <v>209</v>
      </c>
      <c r="N36" s="2" t="s">
        <v>210</v>
      </c>
      <c r="O36" s="2" t="s">
        <v>211</v>
      </c>
      <c r="P36" s="2" t="s">
        <v>212</v>
      </c>
      <c r="Q36" s="2" t="s">
        <v>139</v>
      </c>
      <c r="R36" s="2" t="s">
        <v>144</v>
      </c>
      <c r="T36" s="2" t="s">
        <v>207</v>
      </c>
      <c r="U36" s="2" t="s">
        <v>208</v>
      </c>
      <c r="V36" s="2" t="s">
        <v>209</v>
      </c>
      <c r="W36" s="2" t="s">
        <v>210</v>
      </c>
      <c r="X36" s="2" t="s">
        <v>211</v>
      </c>
      <c r="Y36" s="2" t="s">
        <v>212</v>
      </c>
      <c r="Z36" s="2" t="s">
        <v>139</v>
      </c>
      <c r="AA36" s="2" t="s">
        <v>144</v>
      </c>
      <c r="AC36" s="2" t="s">
        <v>139</v>
      </c>
      <c r="AD36" s="2" t="s">
        <v>207</v>
      </c>
      <c r="AE36" s="2" t="s">
        <v>208</v>
      </c>
      <c r="AF36" s="2" t="s">
        <v>209</v>
      </c>
      <c r="AG36" s="2" t="s">
        <v>210</v>
      </c>
      <c r="AH36" s="2" t="s">
        <v>211</v>
      </c>
      <c r="AI36" s="2" t="s">
        <v>212</v>
      </c>
      <c r="AJ36" s="2" t="s">
        <v>139</v>
      </c>
      <c r="AK36" s="2" t="s">
        <v>144</v>
      </c>
    </row>
    <row r="37" spans="1:40" x14ac:dyDescent="0.25">
      <c r="B37" s="2" t="s">
        <v>207</v>
      </c>
      <c r="C37" s="2" t="s">
        <v>213</v>
      </c>
      <c r="D37" s="2" t="s">
        <v>209</v>
      </c>
      <c r="E37" s="2" t="s">
        <v>214</v>
      </c>
      <c r="F37" s="2" t="s">
        <v>215</v>
      </c>
      <c r="G37" s="2" t="s">
        <v>212</v>
      </c>
      <c r="H37" s="2" t="s">
        <v>139</v>
      </c>
      <c r="I37" s="2" t="s">
        <v>144</v>
      </c>
      <c r="K37" s="2" t="s">
        <v>207</v>
      </c>
      <c r="L37" s="2" t="s">
        <v>213</v>
      </c>
      <c r="M37" s="2" t="s">
        <v>209</v>
      </c>
      <c r="N37" s="2" t="s">
        <v>214</v>
      </c>
      <c r="O37" s="2" t="s">
        <v>215</v>
      </c>
      <c r="P37" s="2" t="s">
        <v>212</v>
      </c>
      <c r="Q37" s="2" t="s">
        <v>139</v>
      </c>
      <c r="R37" s="2" t="s">
        <v>144</v>
      </c>
      <c r="T37" s="2" t="s">
        <v>207</v>
      </c>
      <c r="U37" s="2" t="s">
        <v>213</v>
      </c>
      <c r="V37" s="2" t="s">
        <v>209</v>
      </c>
      <c r="W37" s="2" t="s">
        <v>214</v>
      </c>
      <c r="X37" s="2" t="s">
        <v>215</v>
      </c>
      <c r="Y37" s="2" t="s">
        <v>212</v>
      </c>
      <c r="Z37" s="2" t="s">
        <v>139</v>
      </c>
      <c r="AA37" s="2" t="s">
        <v>144</v>
      </c>
      <c r="AC37" s="2" t="s">
        <v>139</v>
      </c>
      <c r="AD37" s="2" t="s">
        <v>207</v>
      </c>
      <c r="AE37" s="2" t="s">
        <v>213</v>
      </c>
      <c r="AF37" s="2" t="s">
        <v>209</v>
      </c>
      <c r="AG37" s="2" t="s">
        <v>214</v>
      </c>
      <c r="AH37" s="2" t="s">
        <v>215</v>
      </c>
      <c r="AI37" s="2" t="s">
        <v>212</v>
      </c>
      <c r="AJ37" s="2" t="s">
        <v>139</v>
      </c>
      <c r="AK37" s="2" t="s">
        <v>144</v>
      </c>
    </row>
    <row r="38" spans="1:40" x14ac:dyDescent="0.25">
      <c r="B38" s="2" t="s">
        <v>216</v>
      </c>
      <c r="C38" s="2" t="s">
        <v>213</v>
      </c>
      <c r="D38" s="2" t="s">
        <v>209</v>
      </c>
      <c r="E38" s="2" t="s">
        <v>217</v>
      </c>
      <c r="F38" s="2" t="s">
        <v>218</v>
      </c>
      <c r="G38" s="2" t="s">
        <v>212</v>
      </c>
      <c r="H38" s="2" t="s">
        <v>139</v>
      </c>
      <c r="I38" s="2" t="s">
        <v>144</v>
      </c>
      <c r="K38" s="2" t="s">
        <v>216</v>
      </c>
      <c r="L38" s="2" t="s">
        <v>213</v>
      </c>
      <c r="M38" s="2" t="s">
        <v>209</v>
      </c>
      <c r="N38" s="2" t="s">
        <v>217</v>
      </c>
      <c r="O38" s="2" t="s">
        <v>218</v>
      </c>
      <c r="P38" s="2" t="s">
        <v>212</v>
      </c>
      <c r="Q38" s="2" t="s">
        <v>139</v>
      </c>
      <c r="R38" s="2" t="s">
        <v>144</v>
      </c>
      <c r="T38" s="2" t="s">
        <v>216</v>
      </c>
      <c r="U38" s="2" t="s">
        <v>213</v>
      </c>
      <c r="V38" s="2" t="s">
        <v>209</v>
      </c>
      <c r="W38" s="2" t="s">
        <v>217</v>
      </c>
      <c r="X38" s="2" t="s">
        <v>218</v>
      </c>
      <c r="Y38" s="2" t="s">
        <v>212</v>
      </c>
      <c r="Z38" s="2" t="s">
        <v>139</v>
      </c>
      <c r="AA38" s="2" t="s">
        <v>144</v>
      </c>
      <c r="AC38" s="2" t="s">
        <v>139</v>
      </c>
      <c r="AD38" s="2" t="s">
        <v>216</v>
      </c>
      <c r="AE38" s="2" t="s">
        <v>213</v>
      </c>
      <c r="AF38" s="2" t="s">
        <v>209</v>
      </c>
      <c r="AG38" s="2" t="s">
        <v>217</v>
      </c>
      <c r="AH38" s="2" t="s">
        <v>218</v>
      </c>
      <c r="AI38" s="2" t="s">
        <v>212</v>
      </c>
      <c r="AJ38" s="2" t="s">
        <v>139</v>
      </c>
      <c r="AK38" s="2" t="s">
        <v>144</v>
      </c>
    </row>
    <row r="39" spans="1:40" x14ac:dyDescent="0.25">
      <c r="B39" s="2" t="s">
        <v>219</v>
      </c>
      <c r="C39" s="2" t="s">
        <v>213</v>
      </c>
      <c r="D39" s="2" t="s">
        <v>209</v>
      </c>
      <c r="E39" s="2" t="s">
        <v>214</v>
      </c>
      <c r="F39" s="2" t="s">
        <v>220</v>
      </c>
      <c r="G39" s="2" t="s">
        <v>212</v>
      </c>
      <c r="H39" s="2" t="s">
        <v>139</v>
      </c>
      <c r="I39" s="2" t="s">
        <v>144</v>
      </c>
      <c r="K39" s="2" t="s">
        <v>219</v>
      </c>
      <c r="L39" s="2" t="s">
        <v>213</v>
      </c>
      <c r="M39" s="2" t="s">
        <v>209</v>
      </c>
      <c r="N39" s="2" t="s">
        <v>214</v>
      </c>
      <c r="O39" s="2" t="s">
        <v>220</v>
      </c>
      <c r="P39" s="2" t="s">
        <v>212</v>
      </c>
      <c r="Q39" s="2" t="s">
        <v>139</v>
      </c>
      <c r="R39" s="2" t="s">
        <v>144</v>
      </c>
      <c r="T39" s="2" t="s">
        <v>219</v>
      </c>
      <c r="U39" s="2" t="s">
        <v>213</v>
      </c>
      <c r="V39" s="2" t="s">
        <v>209</v>
      </c>
      <c r="W39" s="2" t="s">
        <v>214</v>
      </c>
      <c r="X39" s="2" t="s">
        <v>220</v>
      </c>
      <c r="Y39" s="2" t="s">
        <v>212</v>
      </c>
      <c r="Z39" s="2" t="s">
        <v>139</v>
      </c>
      <c r="AA39" s="2" t="s">
        <v>144</v>
      </c>
      <c r="AC39" s="2" t="s">
        <v>139</v>
      </c>
      <c r="AD39" s="2" t="s">
        <v>219</v>
      </c>
      <c r="AE39" s="2" t="s">
        <v>213</v>
      </c>
      <c r="AF39" s="2" t="s">
        <v>209</v>
      </c>
      <c r="AG39" s="2" t="s">
        <v>214</v>
      </c>
      <c r="AH39" s="2" t="s">
        <v>220</v>
      </c>
      <c r="AI39" s="2" t="s">
        <v>212</v>
      </c>
      <c r="AJ39" s="2" t="s">
        <v>139</v>
      </c>
      <c r="AK39" s="2" t="s">
        <v>144</v>
      </c>
    </row>
    <row r="40" spans="1:40" x14ac:dyDescent="0.25">
      <c r="B40" s="2" t="s">
        <v>221</v>
      </c>
      <c r="C40" s="2" t="s">
        <v>222</v>
      </c>
      <c r="D40" s="2" t="s">
        <v>209</v>
      </c>
      <c r="E40" s="2" t="s">
        <v>223</v>
      </c>
      <c r="F40" s="2" t="s">
        <v>224</v>
      </c>
      <c r="G40" s="2" t="s">
        <v>212</v>
      </c>
      <c r="H40" s="2" t="s">
        <v>139</v>
      </c>
      <c r="I40" s="2" t="s">
        <v>144</v>
      </c>
      <c r="K40" s="2" t="s">
        <v>221</v>
      </c>
      <c r="L40" s="2" t="s">
        <v>222</v>
      </c>
      <c r="M40" s="2" t="s">
        <v>209</v>
      </c>
      <c r="N40" s="2" t="s">
        <v>223</v>
      </c>
      <c r="O40" s="2" t="s">
        <v>224</v>
      </c>
      <c r="P40" s="2" t="s">
        <v>212</v>
      </c>
      <c r="Q40" s="2" t="s">
        <v>139</v>
      </c>
      <c r="R40" s="2" t="s">
        <v>144</v>
      </c>
      <c r="T40" s="2" t="s">
        <v>221</v>
      </c>
      <c r="U40" s="2" t="s">
        <v>222</v>
      </c>
      <c r="V40" s="2" t="s">
        <v>209</v>
      </c>
      <c r="W40" s="2" t="s">
        <v>223</v>
      </c>
      <c r="X40" s="2" t="s">
        <v>224</v>
      </c>
      <c r="Y40" s="2" t="s">
        <v>212</v>
      </c>
      <c r="Z40" s="2" t="s">
        <v>139</v>
      </c>
      <c r="AA40" s="2" t="s">
        <v>144</v>
      </c>
      <c r="AC40" s="2" t="s">
        <v>139</v>
      </c>
      <c r="AD40" s="2" t="s">
        <v>221</v>
      </c>
      <c r="AE40" s="2" t="s">
        <v>222</v>
      </c>
      <c r="AF40" s="2" t="s">
        <v>209</v>
      </c>
      <c r="AG40" s="2" t="s">
        <v>223</v>
      </c>
      <c r="AH40" s="2" t="s">
        <v>224</v>
      </c>
      <c r="AI40" s="2" t="s">
        <v>212</v>
      </c>
      <c r="AJ40" s="2" t="s">
        <v>139</v>
      </c>
      <c r="AK40" s="2" t="s">
        <v>144</v>
      </c>
    </row>
    <row r="41" spans="1:40" x14ac:dyDescent="0.25">
      <c r="B41" s="2" t="s">
        <v>221</v>
      </c>
      <c r="C41" s="2" t="s">
        <v>225</v>
      </c>
      <c r="D41" s="2" t="s">
        <v>209</v>
      </c>
      <c r="E41" s="2" t="s">
        <v>226</v>
      </c>
      <c r="F41" s="2" t="s">
        <v>227</v>
      </c>
      <c r="G41" s="2" t="s">
        <v>212</v>
      </c>
      <c r="H41" s="2" t="s">
        <v>139</v>
      </c>
      <c r="I41" s="2" t="s">
        <v>144</v>
      </c>
      <c r="K41" s="2" t="s">
        <v>221</v>
      </c>
      <c r="L41" s="2" t="s">
        <v>225</v>
      </c>
      <c r="M41" s="2" t="s">
        <v>209</v>
      </c>
      <c r="N41" s="2" t="s">
        <v>226</v>
      </c>
      <c r="O41" s="2" t="s">
        <v>227</v>
      </c>
      <c r="P41" s="2" t="s">
        <v>212</v>
      </c>
      <c r="Q41" s="2" t="s">
        <v>139</v>
      </c>
      <c r="R41" s="2" t="s">
        <v>144</v>
      </c>
      <c r="T41" s="2" t="s">
        <v>221</v>
      </c>
      <c r="U41" s="2" t="s">
        <v>225</v>
      </c>
      <c r="V41" s="2" t="s">
        <v>209</v>
      </c>
      <c r="W41" s="2" t="s">
        <v>226</v>
      </c>
      <c r="X41" s="2" t="s">
        <v>227</v>
      </c>
      <c r="Y41" s="2" t="s">
        <v>212</v>
      </c>
      <c r="Z41" s="2" t="s">
        <v>139</v>
      </c>
      <c r="AA41" s="2" t="s">
        <v>144</v>
      </c>
      <c r="AC41" s="2" t="s">
        <v>139</v>
      </c>
      <c r="AD41" s="2" t="s">
        <v>221</v>
      </c>
      <c r="AE41" s="2" t="s">
        <v>225</v>
      </c>
      <c r="AF41" s="2" t="s">
        <v>209</v>
      </c>
      <c r="AG41" s="2" t="s">
        <v>226</v>
      </c>
      <c r="AH41" s="2" t="s">
        <v>227</v>
      </c>
      <c r="AI41" s="2" t="s">
        <v>212</v>
      </c>
      <c r="AJ41" s="2" t="s">
        <v>139</v>
      </c>
      <c r="AK41" s="2" t="s">
        <v>144</v>
      </c>
    </row>
    <row r="42" spans="1:40" x14ac:dyDescent="0.25">
      <c r="B42" s="2" t="s">
        <v>228</v>
      </c>
      <c r="C42" s="2" t="s">
        <v>222</v>
      </c>
      <c r="D42" s="2" t="s">
        <v>209</v>
      </c>
      <c r="E42" s="2" t="s">
        <v>229</v>
      </c>
      <c r="F42" s="2" t="s">
        <v>230</v>
      </c>
      <c r="G42" s="2" t="s">
        <v>212</v>
      </c>
      <c r="H42" s="2" t="s">
        <v>139</v>
      </c>
      <c r="I42" s="2" t="s">
        <v>144</v>
      </c>
      <c r="K42" s="2" t="s">
        <v>228</v>
      </c>
      <c r="L42" s="2" t="s">
        <v>222</v>
      </c>
      <c r="M42" s="2" t="s">
        <v>209</v>
      </c>
      <c r="N42" s="2" t="s">
        <v>229</v>
      </c>
      <c r="O42" s="2" t="s">
        <v>230</v>
      </c>
      <c r="P42" s="2" t="s">
        <v>212</v>
      </c>
      <c r="Q42" s="2" t="s">
        <v>139</v>
      </c>
      <c r="R42" s="2" t="s">
        <v>144</v>
      </c>
      <c r="T42" s="2" t="s">
        <v>228</v>
      </c>
      <c r="U42" s="2" t="s">
        <v>222</v>
      </c>
      <c r="V42" s="2" t="s">
        <v>209</v>
      </c>
      <c r="W42" s="2" t="s">
        <v>229</v>
      </c>
      <c r="X42" s="2" t="s">
        <v>230</v>
      </c>
      <c r="Y42" s="2" t="s">
        <v>212</v>
      </c>
      <c r="Z42" s="2" t="s">
        <v>139</v>
      </c>
      <c r="AA42" s="2" t="s">
        <v>144</v>
      </c>
      <c r="AC42" s="2" t="s">
        <v>139</v>
      </c>
      <c r="AD42" s="2" t="s">
        <v>228</v>
      </c>
      <c r="AE42" s="2" t="s">
        <v>222</v>
      </c>
      <c r="AF42" s="2" t="s">
        <v>209</v>
      </c>
      <c r="AG42" s="2" t="s">
        <v>229</v>
      </c>
      <c r="AH42" s="2" t="s">
        <v>230</v>
      </c>
      <c r="AI42" s="2" t="s">
        <v>212</v>
      </c>
      <c r="AJ42" s="2" t="s">
        <v>139</v>
      </c>
      <c r="AK42" s="2" t="s">
        <v>144</v>
      </c>
    </row>
    <row r="43" spans="1:40" x14ac:dyDescent="0.25">
      <c r="B43" s="2" t="s">
        <v>228</v>
      </c>
      <c r="C43" s="2" t="s">
        <v>225</v>
      </c>
      <c r="D43" s="2" t="s">
        <v>209</v>
      </c>
      <c r="E43" s="2" t="s">
        <v>231</v>
      </c>
      <c r="F43" s="2" t="s">
        <v>232</v>
      </c>
      <c r="G43" s="2" t="s">
        <v>212</v>
      </c>
      <c r="H43" s="2" t="s">
        <v>139</v>
      </c>
      <c r="I43" s="2" t="s">
        <v>144</v>
      </c>
      <c r="K43" s="2" t="s">
        <v>228</v>
      </c>
      <c r="L43" s="2" t="s">
        <v>225</v>
      </c>
      <c r="M43" s="2" t="s">
        <v>209</v>
      </c>
      <c r="N43" s="2" t="s">
        <v>231</v>
      </c>
      <c r="O43" s="2" t="s">
        <v>232</v>
      </c>
      <c r="P43" s="2" t="s">
        <v>212</v>
      </c>
      <c r="Q43" s="2" t="s">
        <v>139</v>
      </c>
      <c r="R43" s="2" t="s">
        <v>144</v>
      </c>
      <c r="T43" s="2" t="s">
        <v>228</v>
      </c>
      <c r="U43" s="2" t="s">
        <v>225</v>
      </c>
      <c r="V43" s="2" t="s">
        <v>209</v>
      </c>
      <c r="W43" s="2" t="s">
        <v>231</v>
      </c>
      <c r="X43" s="2" t="s">
        <v>232</v>
      </c>
      <c r="Y43" s="2" t="s">
        <v>212</v>
      </c>
      <c r="Z43" s="2" t="s">
        <v>139</v>
      </c>
      <c r="AA43" s="2" t="s">
        <v>144</v>
      </c>
      <c r="AC43" s="2" t="s">
        <v>139</v>
      </c>
      <c r="AD43" s="2" t="s">
        <v>228</v>
      </c>
      <c r="AE43" s="2" t="s">
        <v>225</v>
      </c>
      <c r="AF43" s="2" t="s">
        <v>209</v>
      </c>
      <c r="AG43" s="2" t="s">
        <v>231</v>
      </c>
      <c r="AH43" s="2" t="s">
        <v>232</v>
      </c>
      <c r="AI43" s="2" t="s">
        <v>212</v>
      </c>
      <c r="AJ43" s="2" t="s">
        <v>139</v>
      </c>
      <c r="AK43" s="2" t="s">
        <v>144</v>
      </c>
    </row>
    <row r="44" spans="1:40" x14ac:dyDescent="0.25">
      <c r="B44" s="2" t="s">
        <v>233</v>
      </c>
      <c r="C44" s="2" t="s">
        <v>234</v>
      </c>
      <c r="D44" s="2" t="s">
        <v>209</v>
      </c>
      <c r="E44" s="2" t="s">
        <v>235</v>
      </c>
      <c r="F44" s="2" t="s">
        <v>236</v>
      </c>
      <c r="G44" s="2" t="s">
        <v>212</v>
      </c>
      <c r="H44" s="2" t="s">
        <v>139</v>
      </c>
      <c r="I44" s="2" t="s">
        <v>144</v>
      </c>
      <c r="K44" s="2" t="s">
        <v>233</v>
      </c>
      <c r="L44" s="2" t="s">
        <v>234</v>
      </c>
      <c r="M44" s="2" t="s">
        <v>209</v>
      </c>
      <c r="N44" s="2" t="s">
        <v>235</v>
      </c>
      <c r="O44" s="2" t="s">
        <v>236</v>
      </c>
      <c r="P44" s="2" t="s">
        <v>212</v>
      </c>
      <c r="Q44" s="2" t="s">
        <v>139</v>
      </c>
      <c r="R44" s="2" t="s">
        <v>144</v>
      </c>
      <c r="T44" s="2" t="s">
        <v>233</v>
      </c>
      <c r="U44" s="2" t="s">
        <v>234</v>
      </c>
      <c r="V44" s="2" t="s">
        <v>209</v>
      </c>
      <c r="W44" s="2" t="s">
        <v>235</v>
      </c>
      <c r="X44" s="2" t="s">
        <v>236</v>
      </c>
      <c r="Y44" s="2" t="s">
        <v>212</v>
      </c>
      <c r="Z44" s="2" t="s">
        <v>139</v>
      </c>
      <c r="AA44" s="2" t="s">
        <v>144</v>
      </c>
      <c r="AC44" s="2" t="s">
        <v>139</v>
      </c>
      <c r="AD44" s="2" t="s">
        <v>233</v>
      </c>
      <c r="AE44" s="2" t="s">
        <v>234</v>
      </c>
      <c r="AF44" s="2" t="s">
        <v>209</v>
      </c>
      <c r="AG44" s="2" t="s">
        <v>235</v>
      </c>
      <c r="AH44" s="2" t="s">
        <v>236</v>
      </c>
      <c r="AI44" s="2" t="s">
        <v>212</v>
      </c>
      <c r="AJ44" s="2" t="s">
        <v>139</v>
      </c>
      <c r="AK44" s="2" t="s">
        <v>144</v>
      </c>
    </row>
    <row r="45" spans="1:40" x14ac:dyDescent="0.25">
      <c r="B45" s="2" t="s">
        <v>237</v>
      </c>
      <c r="C45" s="2" t="s">
        <v>238</v>
      </c>
      <c r="D45" s="2" t="s">
        <v>209</v>
      </c>
      <c r="E45" s="2" t="s">
        <v>239</v>
      </c>
      <c r="F45" s="2" t="s">
        <v>240</v>
      </c>
      <c r="G45" s="2" t="s">
        <v>212</v>
      </c>
      <c r="H45" s="2" t="s">
        <v>139</v>
      </c>
      <c r="I45" s="2" t="s">
        <v>144</v>
      </c>
      <c r="K45" s="2" t="s">
        <v>237</v>
      </c>
      <c r="L45" s="2" t="s">
        <v>238</v>
      </c>
      <c r="M45" s="2" t="s">
        <v>209</v>
      </c>
      <c r="N45" s="2" t="s">
        <v>239</v>
      </c>
      <c r="O45" s="2" t="s">
        <v>240</v>
      </c>
      <c r="P45" s="2" t="s">
        <v>212</v>
      </c>
      <c r="Q45" s="2" t="s">
        <v>139</v>
      </c>
      <c r="R45" s="2" t="s">
        <v>144</v>
      </c>
      <c r="T45" s="2" t="s">
        <v>237</v>
      </c>
      <c r="U45" s="2" t="s">
        <v>238</v>
      </c>
      <c r="V45" s="2" t="s">
        <v>209</v>
      </c>
      <c r="W45" s="2" t="s">
        <v>239</v>
      </c>
      <c r="X45" s="2" t="s">
        <v>240</v>
      </c>
      <c r="Y45" s="2" t="s">
        <v>212</v>
      </c>
      <c r="Z45" s="2" t="s">
        <v>139</v>
      </c>
      <c r="AA45" s="2" t="s">
        <v>144</v>
      </c>
      <c r="AC45" s="2" t="s">
        <v>139</v>
      </c>
      <c r="AD45" s="2" t="s">
        <v>237</v>
      </c>
      <c r="AE45" s="2" t="s">
        <v>238</v>
      </c>
      <c r="AF45" s="2" t="s">
        <v>209</v>
      </c>
      <c r="AG45" s="2" t="s">
        <v>239</v>
      </c>
      <c r="AH45" s="2" t="s">
        <v>240</v>
      </c>
      <c r="AI45" s="2" t="s">
        <v>212</v>
      </c>
      <c r="AJ45" s="2" t="s">
        <v>139</v>
      </c>
      <c r="AK45" s="2" t="s">
        <v>144</v>
      </c>
    </row>
    <row r="46" spans="1:40" x14ac:dyDescent="0.25">
      <c r="A46" s="6"/>
      <c r="B46" s="9" t="s">
        <v>83</v>
      </c>
      <c r="C46" s="6"/>
      <c r="D46" s="6"/>
      <c r="E46" s="6"/>
      <c r="F46" s="6"/>
      <c r="G46" s="6"/>
      <c r="H46" s="6"/>
      <c r="I46" s="6"/>
      <c r="K46" s="9" t="s">
        <v>241</v>
      </c>
      <c r="L46" s="6"/>
      <c r="M46" s="6"/>
      <c r="N46" s="6"/>
      <c r="O46" s="6"/>
      <c r="P46" s="6"/>
      <c r="Q46" s="6"/>
      <c r="R46" s="6"/>
      <c r="T46" s="9" t="s">
        <v>241</v>
      </c>
      <c r="U46" s="6"/>
      <c r="V46" s="6"/>
      <c r="W46" s="6"/>
      <c r="X46" s="6"/>
      <c r="Y46" s="6"/>
      <c r="Z46" s="6"/>
      <c r="AA46" s="6"/>
      <c r="AC46" s="9" t="s">
        <v>246</v>
      </c>
      <c r="AD46" s="9"/>
      <c r="AE46" s="6"/>
      <c r="AF46" s="6"/>
      <c r="AG46" s="6"/>
      <c r="AH46" s="6"/>
      <c r="AI46" s="6"/>
      <c r="AJ46" s="6"/>
      <c r="AK46" s="6"/>
      <c r="AL46" s="6"/>
      <c r="AM46" s="6"/>
      <c r="AN46" s="6"/>
    </row>
    <row r="47" spans="1:40" x14ac:dyDescent="0.25">
      <c r="A47" s="5" t="s">
        <v>190</v>
      </c>
      <c r="B47" s="2" t="s">
        <v>207</v>
      </c>
      <c r="C47" s="2" t="s">
        <v>208</v>
      </c>
      <c r="D47" s="2" t="s">
        <v>209</v>
      </c>
      <c r="E47" s="2" t="s">
        <v>210</v>
      </c>
      <c r="F47" s="2" t="s">
        <v>211</v>
      </c>
      <c r="G47" s="2" t="s">
        <v>212</v>
      </c>
      <c r="H47" s="2" t="s">
        <v>190</v>
      </c>
      <c r="I47" s="27" t="s">
        <v>192</v>
      </c>
      <c r="K47" s="27" t="s">
        <v>207</v>
      </c>
      <c r="L47" s="27" t="s">
        <v>208</v>
      </c>
      <c r="M47" s="27" t="s">
        <v>209</v>
      </c>
      <c r="N47" s="27" t="s">
        <v>210</v>
      </c>
      <c r="O47" s="27" t="s">
        <v>211</v>
      </c>
      <c r="P47" s="27" t="s">
        <v>212</v>
      </c>
      <c r="Q47" s="27" t="s">
        <v>190</v>
      </c>
      <c r="R47" s="27" t="s">
        <v>192</v>
      </c>
      <c r="T47" s="27" t="s">
        <v>207</v>
      </c>
      <c r="U47" s="27" t="s">
        <v>208</v>
      </c>
      <c r="V47" s="27" t="s">
        <v>209</v>
      </c>
      <c r="W47" s="27" t="s">
        <v>210</v>
      </c>
      <c r="X47" s="27" t="s">
        <v>211</v>
      </c>
      <c r="Y47" s="27" t="s">
        <v>212</v>
      </c>
      <c r="Z47" s="27" t="s">
        <v>190</v>
      </c>
      <c r="AA47" s="27" t="s">
        <v>192</v>
      </c>
      <c r="AC47" s="2" t="s">
        <v>139</v>
      </c>
      <c r="AD47" s="2" t="s">
        <v>207</v>
      </c>
      <c r="AE47" s="2" t="s">
        <v>208</v>
      </c>
      <c r="AF47" s="2" t="s">
        <v>209</v>
      </c>
      <c r="AG47" s="2" t="s">
        <v>210</v>
      </c>
      <c r="AH47" s="2" t="s">
        <v>211</v>
      </c>
      <c r="AI47" s="2" t="s">
        <v>212</v>
      </c>
      <c r="AJ47" s="2" t="s">
        <v>139</v>
      </c>
      <c r="AK47" s="2" t="s">
        <v>144</v>
      </c>
    </row>
    <row r="48" spans="1:40" x14ac:dyDescent="0.25">
      <c r="B48" s="2" t="s">
        <v>207</v>
      </c>
      <c r="C48" s="2" t="s">
        <v>213</v>
      </c>
      <c r="D48" s="2" t="s">
        <v>209</v>
      </c>
      <c r="E48" s="2" t="s">
        <v>214</v>
      </c>
      <c r="F48" s="2" t="s">
        <v>215</v>
      </c>
      <c r="G48" s="2" t="s">
        <v>212</v>
      </c>
      <c r="H48" s="2" t="s">
        <v>190</v>
      </c>
      <c r="I48" s="27" t="s">
        <v>192</v>
      </c>
      <c r="K48" s="27" t="s">
        <v>207</v>
      </c>
      <c r="L48" s="27" t="s">
        <v>213</v>
      </c>
      <c r="M48" s="27" t="s">
        <v>209</v>
      </c>
      <c r="N48" s="27" t="s">
        <v>214</v>
      </c>
      <c r="O48" s="27" t="s">
        <v>215</v>
      </c>
      <c r="P48" s="27" t="s">
        <v>212</v>
      </c>
      <c r="Q48" s="27" t="s">
        <v>190</v>
      </c>
      <c r="R48" s="27" t="s">
        <v>192</v>
      </c>
      <c r="T48" s="27" t="s">
        <v>207</v>
      </c>
      <c r="U48" s="27" t="s">
        <v>213</v>
      </c>
      <c r="V48" s="27" t="s">
        <v>209</v>
      </c>
      <c r="W48" s="27" t="s">
        <v>214</v>
      </c>
      <c r="X48" s="27" t="s">
        <v>215</v>
      </c>
      <c r="Y48" s="27" t="s">
        <v>212</v>
      </c>
      <c r="Z48" s="27" t="s">
        <v>190</v>
      </c>
      <c r="AA48" s="27" t="s">
        <v>192</v>
      </c>
      <c r="AC48" s="2" t="s">
        <v>139</v>
      </c>
      <c r="AD48" s="2" t="s">
        <v>207</v>
      </c>
      <c r="AE48" s="2" t="s">
        <v>213</v>
      </c>
      <c r="AF48" s="2" t="s">
        <v>209</v>
      </c>
      <c r="AG48" s="2" t="s">
        <v>214</v>
      </c>
      <c r="AH48" s="2" t="s">
        <v>215</v>
      </c>
      <c r="AI48" s="2" t="s">
        <v>212</v>
      </c>
      <c r="AJ48" s="2" t="s">
        <v>139</v>
      </c>
      <c r="AK48" s="2" t="s">
        <v>144</v>
      </c>
    </row>
    <row r="49" spans="2:37" x14ac:dyDescent="0.25">
      <c r="B49" s="2" t="s">
        <v>216</v>
      </c>
      <c r="C49" s="2" t="s">
        <v>213</v>
      </c>
      <c r="D49" s="2" t="s">
        <v>209</v>
      </c>
      <c r="E49" s="2" t="s">
        <v>217</v>
      </c>
      <c r="F49" s="2" t="s">
        <v>218</v>
      </c>
      <c r="G49" s="2" t="s">
        <v>212</v>
      </c>
      <c r="H49" s="2" t="s">
        <v>190</v>
      </c>
      <c r="I49" s="27" t="s">
        <v>192</v>
      </c>
      <c r="K49" s="27" t="s">
        <v>216</v>
      </c>
      <c r="L49" s="27" t="s">
        <v>213</v>
      </c>
      <c r="M49" s="27" t="s">
        <v>209</v>
      </c>
      <c r="N49" s="27" t="s">
        <v>217</v>
      </c>
      <c r="O49" s="27" t="s">
        <v>218</v>
      </c>
      <c r="P49" s="27" t="s">
        <v>212</v>
      </c>
      <c r="Q49" s="27" t="s">
        <v>190</v>
      </c>
      <c r="R49" s="27" t="s">
        <v>192</v>
      </c>
      <c r="T49" s="27" t="s">
        <v>216</v>
      </c>
      <c r="U49" s="27" t="s">
        <v>213</v>
      </c>
      <c r="V49" s="27" t="s">
        <v>209</v>
      </c>
      <c r="W49" s="27" t="s">
        <v>217</v>
      </c>
      <c r="X49" s="27" t="s">
        <v>218</v>
      </c>
      <c r="Y49" s="27" t="s">
        <v>212</v>
      </c>
      <c r="Z49" s="27" t="s">
        <v>190</v>
      </c>
      <c r="AA49" s="27" t="s">
        <v>192</v>
      </c>
      <c r="AC49" s="2" t="s">
        <v>139</v>
      </c>
      <c r="AD49" s="2" t="s">
        <v>216</v>
      </c>
      <c r="AE49" s="2" t="s">
        <v>213</v>
      </c>
      <c r="AF49" s="2" t="s">
        <v>209</v>
      </c>
      <c r="AG49" s="2" t="s">
        <v>217</v>
      </c>
      <c r="AH49" s="2" t="s">
        <v>218</v>
      </c>
      <c r="AI49" s="2" t="s">
        <v>212</v>
      </c>
      <c r="AJ49" s="2" t="s">
        <v>139</v>
      </c>
      <c r="AK49" s="2" t="s">
        <v>144</v>
      </c>
    </row>
    <row r="50" spans="2:37" x14ac:dyDescent="0.25">
      <c r="B50" s="2" t="s">
        <v>219</v>
      </c>
      <c r="C50" s="2" t="s">
        <v>213</v>
      </c>
      <c r="D50" s="2" t="s">
        <v>209</v>
      </c>
      <c r="E50" s="2" t="s">
        <v>214</v>
      </c>
      <c r="F50" s="2" t="s">
        <v>220</v>
      </c>
      <c r="G50" s="2" t="s">
        <v>212</v>
      </c>
      <c r="H50" s="2" t="s">
        <v>190</v>
      </c>
      <c r="I50" s="27" t="s">
        <v>192</v>
      </c>
      <c r="K50" s="27" t="s">
        <v>219</v>
      </c>
      <c r="L50" s="27" t="s">
        <v>213</v>
      </c>
      <c r="M50" s="27" t="s">
        <v>209</v>
      </c>
      <c r="N50" s="27" t="s">
        <v>214</v>
      </c>
      <c r="O50" s="27" t="s">
        <v>220</v>
      </c>
      <c r="P50" s="27" t="s">
        <v>212</v>
      </c>
      <c r="Q50" s="27" t="s">
        <v>190</v>
      </c>
      <c r="R50" s="27" t="s">
        <v>192</v>
      </c>
      <c r="T50" s="27" t="s">
        <v>219</v>
      </c>
      <c r="U50" s="27" t="s">
        <v>213</v>
      </c>
      <c r="V50" s="27" t="s">
        <v>209</v>
      </c>
      <c r="W50" s="27" t="s">
        <v>214</v>
      </c>
      <c r="X50" s="27" t="s">
        <v>220</v>
      </c>
      <c r="Y50" s="27" t="s">
        <v>212</v>
      </c>
      <c r="Z50" s="27" t="s">
        <v>190</v>
      </c>
      <c r="AA50" s="27" t="s">
        <v>192</v>
      </c>
      <c r="AC50" s="2" t="s">
        <v>139</v>
      </c>
      <c r="AD50" s="2" t="s">
        <v>219</v>
      </c>
      <c r="AE50" s="2" t="s">
        <v>213</v>
      </c>
      <c r="AF50" s="2" t="s">
        <v>209</v>
      </c>
      <c r="AG50" s="2" t="s">
        <v>214</v>
      </c>
      <c r="AH50" s="2" t="s">
        <v>220</v>
      </c>
      <c r="AI50" s="2" t="s">
        <v>212</v>
      </c>
      <c r="AJ50" s="2" t="s">
        <v>139</v>
      </c>
      <c r="AK50" s="2" t="s">
        <v>144</v>
      </c>
    </row>
    <row r="51" spans="2:37" x14ac:dyDescent="0.25">
      <c r="B51" s="2" t="s">
        <v>221</v>
      </c>
      <c r="C51" s="2" t="s">
        <v>222</v>
      </c>
      <c r="D51" s="2" t="s">
        <v>209</v>
      </c>
      <c r="E51" s="2" t="s">
        <v>223</v>
      </c>
      <c r="F51" s="2" t="s">
        <v>224</v>
      </c>
      <c r="G51" s="2" t="s">
        <v>212</v>
      </c>
      <c r="H51" s="2" t="s">
        <v>190</v>
      </c>
      <c r="I51" s="27" t="s">
        <v>192</v>
      </c>
      <c r="K51" s="27" t="s">
        <v>221</v>
      </c>
      <c r="L51" s="27" t="s">
        <v>222</v>
      </c>
      <c r="M51" s="27" t="s">
        <v>209</v>
      </c>
      <c r="N51" s="27" t="s">
        <v>223</v>
      </c>
      <c r="O51" s="27" t="s">
        <v>224</v>
      </c>
      <c r="P51" s="27" t="s">
        <v>212</v>
      </c>
      <c r="Q51" s="27" t="s">
        <v>190</v>
      </c>
      <c r="R51" s="27" t="s">
        <v>192</v>
      </c>
      <c r="T51" s="27" t="s">
        <v>221</v>
      </c>
      <c r="U51" s="27" t="s">
        <v>222</v>
      </c>
      <c r="V51" s="27" t="s">
        <v>209</v>
      </c>
      <c r="W51" s="27" t="s">
        <v>223</v>
      </c>
      <c r="X51" s="27" t="s">
        <v>224</v>
      </c>
      <c r="Y51" s="27" t="s">
        <v>212</v>
      </c>
      <c r="Z51" s="27" t="s">
        <v>190</v>
      </c>
      <c r="AA51" s="27" t="s">
        <v>192</v>
      </c>
      <c r="AC51" s="2" t="s">
        <v>139</v>
      </c>
      <c r="AD51" s="2" t="s">
        <v>221</v>
      </c>
      <c r="AE51" s="2" t="s">
        <v>222</v>
      </c>
      <c r="AF51" s="2" t="s">
        <v>209</v>
      </c>
      <c r="AG51" s="2" t="s">
        <v>223</v>
      </c>
      <c r="AH51" s="2" t="s">
        <v>224</v>
      </c>
      <c r="AI51" s="2" t="s">
        <v>212</v>
      </c>
      <c r="AJ51" s="2" t="s">
        <v>139</v>
      </c>
      <c r="AK51" s="2" t="s">
        <v>144</v>
      </c>
    </row>
    <row r="52" spans="2:37" x14ac:dyDescent="0.25">
      <c r="B52" s="2" t="s">
        <v>221</v>
      </c>
      <c r="C52" s="2" t="s">
        <v>225</v>
      </c>
      <c r="D52" s="2" t="s">
        <v>209</v>
      </c>
      <c r="E52" s="2" t="s">
        <v>226</v>
      </c>
      <c r="F52" s="2" t="s">
        <v>227</v>
      </c>
      <c r="G52" s="2" t="s">
        <v>212</v>
      </c>
      <c r="H52" s="2" t="s">
        <v>190</v>
      </c>
      <c r="I52" s="27" t="s">
        <v>192</v>
      </c>
      <c r="K52" s="27" t="s">
        <v>221</v>
      </c>
      <c r="L52" s="27" t="s">
        <v>225</v>
      </c>
      <c r="M52" s="27" t="s">
        <v>209</v>
      </c>
      <c r="N52" s="27" t="s">
        <v>226</v>
      </c>
      <c r="O52" s="27" t="s">
        <v>227</v>
      </c>
      <c r="P52" s="27" t="s">
        <v>212</v>
      </c>
      <c r="Q52" s="27" t="s">
        <v>190</v>
      </c>
      <c r="R52" s="27" t="s">
        <v>192</v>
      </c>
      <c r="T52" s="27" t="s">
        <v>221</v>
      </c>
      <c r="U52" s="27" t="s">
        <v>225</v>
      </c>
      <c r="V52" s="27" t="s">
        <v>209</v>
      </c>
      <c r="W52" s="27" t="s">
        <v>226</v>
      </c>
      <c r="X52" s="27" t="s">
        <v>227</v>
      </c>
      <c r="Y52" s="27" t="s">
        <v>212</v>
      </c>
      <c r="Z52" s="27" t="s">
        <v>190</v>
      </c>
      <c r="AA52" s="27" t="s">
        <v>192</v>
      </c>
      <c r="AC52" s="2" t="s">
        <v>139</v>
      </c>
      <c r="AD52" s="2" t="s">
        <v>221</v>
      </c>
      <c r="AE52" s="2" t="s">
        <v>225</v>
      </c>
      <c r="AF52" s="2" t="s">
        <v>209</v>
      </c>
      <c r="AG52" s="2" t="s">
        <v>226</v>
      </c>
      <c r="AH52" s="2" t="s">
        <v>227</v>
      </c>
      <c r="AI52" s="2" t="s">
        <v>212</v>
      </c>
      <c r="AJ52" s="2" t="s">
        <v>139</v>
      </c>
      <c r="AK52" s="2" t="s">
        <v>144</v>
      </c>
    </row>
    <row r="53" spans="2:37" x14ac:dyDescent="0.25">
      <c r="B53" s="2" t="s">
        <v>228</v>
      </c>
      <c r="C53" s="2" t="s">
        <v>222</v>
      </c>
      <c r="D53" s="2" t="s">
        <v>209</v>
      </c>
      <c r="E53" s="2" t="s">
        <v>229</v>
      </c>
      <c r="F53" s="2" t="s">
        <v>230</v>
      </c>
      <c r="G53" s="2" t="s">
        <v>212</v>
      </c>
      <c r="H53" s="2" t="s">
        <v>190</v>
      </c>
      <c r="I53" s="27" t="s">
        <v>192</v>
      </c>
      <c r="K53" s="27" t="s">
        <v>228</v>
      </c>
      <c r="L53" s="27" t="s">
        <v>222</v>
      </c>
      <c r="M53" s="27" t="s">
        <v>209</v>
      </c>
      <c r="N53" s="27" t="s">
        <v>229</v>
      </c>
      <c r="O53" s="27" t="s">
        <v>230</v>
      </c>
      <c r="P53" s="27" t="s">
        <v>212</v>
      </c>
      <c r="Q53" s="27" t="s">
        <v>190</v>
      </c>
      <c r="R53" s="27" t="s">
        <v>192</v>
      </c>
      <c r="T53" s="27" t="s">
        <v>228</v>
      </c>
      <c r="U53" s="27" t="s">
        <v>222</v>
      </c>
      <c r="V53" s="27" t="s">
        <v>209</v>
      </c>
      <c r="W53" s="27" t="s">
        <v>229</v>
      </c>
      <c r="X53" s="27" t="s">
        <v>230</v>
      </c>
      <c r="Y53" s="27" t="s">
        <v>212</v>
      </c>
      <c r="Z53" s="27" t="s">
        <v>190</v>
      </c>
      <c r="AA53" s="27" t="s">
        <v>192</v>
      </c>
      <c r="AC53" s="2" t="s">
        <v>139</v>
      </c>
      <c r="AD53" s="2" t="s">
        <v>228</v>
      </c>
      <c r="AE53" s="2" t="s">
        <v>222</v>
      </c>
      <c r="AF53" s="2" t="s">
        <v>209</v>
      </c>
      <c r="AG53" s="2" t="s">
        <v>229</v>
      </c>
      <c r="AH53" s="2" t="s">
        <v>230</v>
      </c>
      <c r="AI53" s="2" t="s">
        <v>212</v>
      </c>
      <c r="AJ53" s="2" t="s">
        <v>139</v>
      </c>
      <c r="AK53" s="2" t="s">
        <v>144</v>
      </c>
    </row>
    <row r="54" spans="2:37" x14ac:dyDescent="0.25">
      <c r="B54" s="2" t="s">
        <v>228</v>
      </c>
      <c r="C54" s="2" t="s">
        <v>225</v>
      </c>
      <c r="D54" s="2" t="s">
        <v>209</v>
      </c>
      <c r="E54" s="2" t="s">
        <v>231</v>
      </c>
      <c r="F54" s="7" t="s">
        <v>242</v>
      </c>
      <c r="G54" s="2" t="s">
        <v>212</v>
      </c>
      <c r="H54" s="2" t="s">
        <v>190</v>
      </c>
      <c r="I54" s="27" t="s">
        <v>192</v>
      </c>
      <c r="K54" s="27" t="s">
        <v>228</v>
      </c>
      <c r="L54" s="27" t="s">
        <v>225</v>
      </c>
      <c r="M54" s="27" t="s">
        <v>209</v>
      </c>
      <c r="N54" s="27" t="s">
        <v>231</v>
      </c>
      <c r="O54" s="27" t="s">
        <v>242</v>
      </c>
      <c r="P54" s="27" t="s">
        <v>212</v>
      </c>
      <c r="Q54" s="27" t="s">
        <v>190</v>
      </c>
      <c r="R54" s="27" t="s">
        <v>192</v>
      </c>
      <c r="T54" s="27" t="s">
        <v>228</v>
      </c>
      <c r="U54" s="27" t="s">
        <v>225</v>
      </c>
      <c r="V54" s="27" t="s">
        <v>209</v>
      </c>
      <c r="W54" s="27" t="s">
        <v>231</v>
      </c>
      <c r="X54" s="27" t="s">
        <v>242</v>
      </c>
      <c r="Y54" s="27" t="s">
        <v>212</v>
      </c>
      <c r="Z54" s="27" t="s">
        <v>190</v>
      </c>
      <c r="AA54" s="27" t="s">
        <v>192</v>
      </c>
      <c r="AC54" s="2" t="s">
        <v>139</v>
      </c>
      <c r="AD54" s="2" t="s">
        <v>228</v>
      </c>
      <c r="AE54" s="2" t="s">
        <v>225</v>
      </c>
      <c r="AF54" s="2" t="s">
        <v>209</v>
      </c>
      <c r="AG54" s="2" t="s">
        <v>231</v>
      </c>
      <c r="AH54" s="2" t="s">
        <v>232</v>
      </c>
      <c r="AI54" s="2" t="s">
        <v>212</v>
      </c>
      <c r="AJ54" s="2" t="s">
        <v>139</v>
      </c>
      <c r="AK54" s="2" t="s">
        <v>144</v>
      </c>
    </row>
    <row r="55" spans="2:37" x14ac:dyDescent="0.25">
      <c r="B55" s="2" t="s">
        <v>233</v>
      </c>
      <c r="C55" s="2" t="s">
        <v>234</v>
      </c>
      <c r="D55" s="2" t="s">
        <v>209</v>
      </c>
      <c r="E55" s="7" t="s">
        <v>243</v>
      </c>
      <c r="F55" s="2" t="s">
        <v>236</v>
      </c>
      <c r="G55" s="2" t="s">
        <v>212</v>
      </c>
      <c r="H55" s="2" t="s">
        <v>190</v>
      </c>
      <c r="I55" s="27" t="s">
        <v>192</v>
      </c>
      <c r="K55" s="27" t="s">
        <v>233</v>
      </c>
      <c r="L55" s="27" t="s">
        <v>234</v>
      </c>
      <c r="M55" s="27" t="s">
        <v>209</v>
      </c>
      <c r="N55" s="27" t="s">
        <v>243</v>
      </c>
      <c r="O55" s="27" t="s">
        <v>236</v>
      </c>
      <c r="P55" s="27" t="s">
        <v>212</v>
      </c>
      <c r="Q55" s="27" t="s">
        <v>190</v>
      </c>
      <c r="R55" s="27" t="s">
        <v>192</v>
      </c>
      <c r="T55" s="27" t="s">
        <v>233</v>
      </c>
      <c r="U55" s="27" t="s">
        <v>234</v>
      </c>
      <c r="V55" s="27" t="s">
        <v>209</v>
      </c>
      <c r="W55" s="27" t="s">
        <v>243</v>
      </c>
      <c r="X55" s="27" t="s">
        <v>236</v>
      </c>
      <c r="Y55" s="27" t="s">
        <v>212</v>
      </c>
      <c r="Z55" s="27" t="s">
        <v>190</v>
      </c>
      <c r="AA55" s="27" t="s">
        <v>192</v>
      </c>
      <c r="AC55" s="2" t="s">
        <v>139</v>
      </c>
      <c r="AD55" s="2" t="s">
        <v>233</v>
      </c>
      <c r="AE55" s="2" t="s">
        <v>234</v>
      </c>
      <c r="AF55" s="2" t="s">
        <v>209</v>
      </c>
      <c r="AG55" s="2" t="s">
        <v>235</v>
      </c>
      <c r="AH55" s="2" t="s">
        <v>236</v>
      </c>
      <c r="AI55" s="2" t="s">
        <v>212</v>
      </c>
      <c r="AJ55" s="2" t="s">
        <v>139</v>
      </c>
      <c r="AK55" s="2" t="s">
        <v>144</v>
      </c>
    </row>
    <row r="56" spans="2:37" x14ac:dyDescent="0.25">
      <c r="T56" s="27"/>
      <c r="U56" s="27"/>
      <c r="V56" s="27"/>
      <c r="W56" s="27"/>
      <c r="X56" s="27"/>
      <c r="Y56" s="27"/>
      <c r="Z56" s="27"/>
      <c r="AC56" s="2" t="s">
        <v>139</v>
      </c>
      <c r="AD56" s="2" t="s">
        <v>237</v>
      </c>
      <c r="AE56" s="2" t="s">
        <v>238</v>
      </c>
      <c r="AF56" s="2" t="s">
        <v>209</v>
      </c>
      <c r="AG56" s="2" t="s">
        <v>239</v>
      </c>
      <c r="AH56" s="2" t="s">
        <v>240</v>
      </c>
      <c r="AI56" s="2" t="s">
        <v>212</v>
      </c>
      <c r="AJ56" s="2" t="s">
        <v>139</v>
      </c>
      <c r="AK56" s="2" t="s">
        <v>144</v>
      </c>
    </row>
    <row r="57" spans="2:37" x14ac:dyDescent="0.25">
      <c r="AC57" s="7" t="s">
        <v>190</v>
      </c>
      <c r="AD57" s="7" t="s">
        <v>207</v>
      </c>
      <c r="AE57" s="7" t="s">
        <v>208</v>
      </c>
      <c r="AF57" s="7" t="s">
        <v>209</v>
      </c>
      <c r="AG57" s="7" t="s">
        <v>210</v>
      </c>
      <c r="AH57" s="7" t="s">
        <v>211</v>
      </c>
      <c r="AI57" s="7" t="s">
        <v>212</v>
      </c>
      <c r="AJ57" s="7" t="s">
        <v>190</v>
      </c>
      <c r="AK57" s="7" t="s">
        <v>192</v>
      </c>
    </row>
    <row r="58" spans="2:37" x14ac:dyDescent="0.25">
      <c r="AC58" s="7" t="s">
        <v>190</v>
      </c>
      <c r="AD58" s="7" t="s">
        <v>207</v>
      </c>
      <c r="AE58" s="7" t="s">
        <v>213</v>
      </c>
      <c r="AF58" s="7" t="s">
        <v>209</v>
      </c>
      <c r="AG58" s="7" t="s">
        <v>214</v>
      </c>
      <c r="AH58" s="7" t="s">
        <v>215</v>
      </c>
      <c r="AI58" s="7" t="s">
        <v>212</v>
      </c>
      <c r="AJ58" s="7" t="s">
        <v>190</v>
      </c>
      <c r="AK58" s="7" t="s">
        <v>192</v>
      </c>
    </row>
    <row r="59" spans="2:37" x14ac:dyDescent="0.25">
      <c r="AC59" s="7" t="s">
        <v>190</v>
      </c>
      <c r="AD59" s="7" t="s">
        <v>216</v>
      </c>
      <c r="AE59" s="7" t="s">
        <v>213</v>
      </c>
      <c r="AF59" s="7" t="s">
        <v>209</v>
      </c>
      <c r="AG59" s="7" t="s">
        <v>217</v>
      </c>
      <c r="AH59" s="7" t="s">
        <v>218</v>
      </c>
      <c r="AI59" s="7" t="s">
        <v>212</v>
      </c>
      <c r="AJ59" s="7" t="s">
        <v>190</v>
      </c>
      <c r="AK59" s="7" t="s">
        <v>192</v>
      </c>
    </row>
    <row r="60" spans="2:37" x14ac:dyDescent="0.25">
      <c r="AC60" s="7" t="s">
        <v>190</v>
      </c>
      <c r="AD60" s="7" t="s">
        <v>219</v>
      </c>
      <c r="AE60" s="7" t="s">
        <v>213</v>
      </c>
      <c r="AF60" s="7" t="s">
        <v>209</v>
      </c>
      <c r="AG60" s="7" t="s">
        <v>214</v>
      </c>
      <c r="AH60" s="7" t="s">
        <v>220</v>
      </c>
      <c r="AI60" s="7" t="s">
        <v>212</v>
      </c>
      <c r="AJ60" s="7" t="s">
        <v>190</v>
      </c>
      <c r="AK60" s="7" t="s">
        <v>192</v>
      </c>
    </row>
    <row r="61" spans="2:37" x14ac:dyDescent="0.25">
      <c r="AC61" s="7" t="s">
        <v>190</v>
      </c>
      <c r="AD61" s="7" t="s">
        <v>221</v>
      </c>
      <c r="AE61" s="7" t="s">
        <v>222</v>
      </c>
      <c r="AF61" s="7" t="s">
        <v>209</v>
      </c>
      <c r="AG61" s="7" t="s">
        <v>223</v>
      </c>
      <c r="AH61" s="7" t="s">
        <v>224</v>
      </c>
      <c r="AI61" s="7" t="s">
        <v>212</v>
      </c>
      <c r="AJ61" s="7" t="s">
        <v>190</v>
      </c>
      <c r="AK61" s="7" t="s">
        <v>192</v>
      </c>
    </row>
    <row r="62" spans="2:37" x14ac:dyDescent="0.25">
      <c r="AC62" s="7" t="s">
        <v>190</v>
      </c>
      <c r="AD62" s="7" t="s">
        <v>221</v>
      </c>
      <c r="AE62" s="7" t="s">
        <v>225</v>
      </c>
      <c r="AF62" s="7" t="s">
        <v>209</v>
      </c>
      <c r="AG62" s="7" t="s">
        <v>226</v>
      </c>
      <c r="AH62" s="7" t="s">
        <v>227</v>
      </c>
      <c r="AI62" s="7" t="s">
        <v>212</v>
      </c>
      <c r="AJ62" s="7" t="s">
        <v>190</v>
      </c>
      <c r="AK62" s="7" t="s">
        <v>192</v>
      </c>
    </row>
    <row r="63" spans="2:37" x14ac:dyDescent="0.25">
      <c r="AC63" s="7" t="s">
        <v>190</v>
      </c>
      <c r="AD63" s="7" t="s">
        <v>228</v>
      </c>
      <c r="AE63" s="7" t="s">
        <v>222</v>
      </c>
      <c r="AF63" s="7" t="s">
        <v>209</v>
      </c>
      <c r="AG63" s="7" t="s">
        <v>229</v>
      </c>
      <c r="AH63" s="7" t="s">
        <v>230</v>
      </c>
      <c r="AI63" s="7" t="s">
        <v>212</v>
      </c>
      <c r="AJ63" s="7" t="s">
        <v>190</v>
      </c>
      <c r="AK63" s="7" t="s">
        <v>192</v>
      </c>
    </row>
    <row r="64" spans="2:37" x14ac:dyDescent="0.25">
      <c r="AC64" s="7" t="s">
        <v>190</v>
      </c>
      <c r="AD64" s="7" t="s">
        <v>228</v>
      </c>
      <c r="AE64" s="7" t="s">
        <v>225</v>
      </c>
      <c r="AF64" s="7" t="s">
        <v>209</v>
      </c>
      <c r="AG64" s="7" t="s">
        <v>231</v>
      </c>
      <c r="AH64" s="7" t="s">
        <v>242</v>
      </c>
      <c r="AI64" s="7" t="s">
        <v>212</v>
      </c>
      <c r="AJ64" s="7" t="s">
        <v>190</v>
      </c>
      <c r="AK64" s="7" t="s">
        <v>192</v>
      </c>
    </row>
    <row r="65" spans="29:37" x14ac:dyDescent="0.25">
      <c r="AC65" s="7" t="s">
        <v>190</v>
      </c>
      <c r="AD65" s="7" t="s">
        <v>233</v>
      </c>
      <c r="AE65" s="7" t="s">
        <v>234</v>
      </c>
      <c r="AF65" s="7" t="s">
        <v>209</v>
      </c>
      <c r="AG65" s="7" t="s">
        <v>243</v>
      </c>
      <c r="AH65" s="7" t="s">
        <v>236</v>
      </c>
      <c r="AI65" s="7" t="s">
        <v>212</v>
      </c>
      <c r="AJ65" s="7" t="s">
        <v>190</v>
      </c>
      <c r="AK65" s="7" t="s">
        <v>192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66EDD-C6F3-4AF1-AE06-223EA4DAA06C}">
  <dimension ref="A2:BM27"/>
  <sheetViews>
    <sheetView zoomScale="80" zoomScaleNormal="80" workbookViewId="0">
      <pane ySplit="5" topLeftCell="A17" activePane="bottomLeft" state="frozen"/>
      <selection pane="bottomLeft" activeCell="BM17" sqref="BM17:BM18"/>
    </sheetView>
  </sheetViews>
  <sheetFormatPr defaultColWidth="8.85546875" defaultRowHeight="15" x14ac:dyDescent="0.25"/>
  <cols>
    <col min="1" max="1" width="17.140625" style="2" customWidth="1"/>
    <col min="2" max="2" width="12.140625" style="2" bestFit="1" customWidth="1"/>
    <col min="3" max="5" width="18.140625" style="2" customWidth="1"/>
    <col min="6" max="6" width="13.85546875" style="2" bestFit="1" customWidth="1"/>
    <col min="7" max="7" width="11.28515625" style="2" bestFit="1" customWidth="1"/>
    <col min="8" max="8" width="13.28515625" style="2" bestFit="1" customWidth="1"/>
    <col min="9" max="9" width="22.85546875" style="2" bestFit="1" customWidth="1"/>
    <col min="10" max="10" width="12.28515625" style="2" bestFit="1" customWidth="1"/>
    <col min="11" max="11" width="16" style="2" bestFit="1" customWidth="1"/>
    <col min="12" max="12" width="3.85546875" style="40" customWidth="1"/>
    <col min="13" max="13" width="15.5703125" style="2" customWidth="1"/>
    <col min="14" max="16" width="15.140625" style="2" customWidth="1"/>
    <col min="17" max="17" width="13.85546875" style="2" bestFit="1" customWidth="1"/>
    <col min="18" max="18" width="11.140625" style="2" bestFit="1" customWidth="1"/>
    <col min="19" max="19" width="13.28515625" style="2" customWidth="1"/>
    <col min="20" max="20" width="24.42578125" style="2" customWidth="1"/>
    <col min="21" max="21" width="12.7109375" style="2" bestFit="1" customWidth="1"/>
    <col min="22" max="22" width="19.42578125" style="2" customWidth="1"/>
    <col min="23" max="23" width="20.28515625" style="2" bestFit="1" customWidth="1"/>
    <col min="24" max="24" width="21" style="2" bestFit="1" customWidth="1"/>
    <col min="25" max="25" width="9.28515625" style="2" customWidth="1"/>
    <col min="26" max="26" width="16" style="2" bestFit="1" customWidth="1"/>
    <col min="27" max="27" width="3.85546875" style="40" customWidth="1"/>
    <col min="28" max="28" width="13.28515625" style="2" customWidth="1"/>
    <col min="29" max="29" width="19" style="2" customWidth="1"/>
    <col min="30" max="31" width="16.7109375" style="2" customWidth="1"/>
    <col min="32" max="32" width="13.85546875" style="2" bestFit="1" customWidth="1"/>
    <col min="33" max="33" width="13.28515625" style="2" bestFit="1" customWidth="1"/>
    <col min="34" max="34" width="13.28515625" style="2" customWidth="1"/>
    <col min="35" max="35" width="24.5703125" style="2" customWidth="1"/>
    <col min="36" max="36" width="20.28515625" style="10" customWidth="1"/>
    <col min="37" max="37" width="12.42578125" style="2" bestFit="1" customWidth="1"/>
    <col min="38" max="38" width="19.5703125" style="2" bestFit="1" customWidth="1"/>
    <col min="39" max="39" width="20.28515625" style="2" bestFit="1" customWidth="1"/>
    <col min="40" max="40" width="11.7109375" style="2" bestFit="1" customWidth="1"/>
    <col min="41" max="41" width="16" style="2" bestFit="1" customWidth="1"/>
    <col min="42" max="42" width="3.85546875" style="40" customWidth="1"/>
    <col min="43" max="43" width="13.28515625" style="2" customWidth="1"/>
    <col min="44" max="44" width="39.28515625" style="2" bestFit="1" customWidth="1"/>
    <col min="45" max="45" width="11.140625" style="2" bestFit="1" customWidth="1"/>
    <col min="46" max="46" width="13.85546875" style="2" bestFit="1" customWidth="1"/>
    <col min="47" max="47" width="13.85546875" style="2" customWidth="1"/>
    <col min="48" max="48" width="26.7109375" style="4" customWidth="1"/>
    <col min="49" max="50" width="28.7109375" style="2" customWidth="1"/>
    <col min="51" max="51" width="11.7109375" style="2" bestFit="1" customWidth="1"/>
    <col min="52" max="52" width="19.140625" style="2" bestFit="1" customWidth="1"/>
    <col min="53" max="53" width="26.7109375" style="2" customWidth="1"/>
    <col min="54" max="54" width="3.85546875" style="40" customWidth="1"/>
    <col min="55" max="55" width="19.5703125" style="2" bestFit="1" customWidth="1"/>
    <col min="56" max="56" width="34.28515625" style="2" bestFit="1" customWidth="1"/>
    <col min="57" max="57" width="15.42578125" style="2" bestFit="1" customWidth="1"/>
    <col min="58" max="58" width="19.140625" style="2" bestFit="1" customWidth="1"/>
    <col min="59" max="59" width="17.28515625" style="2" bestFit="1" customWidth="1"/>
    <col min="60" max="60" width="25.28515625" style="10" customWidth="1"/>
    <col min="61" max="61" width="26.85546875" style="2" bestFit="1" customWidth="1"/>
    <col min="62" max="62" width="27.42578125" style="2" bestFit="1" customWidth="1"/>
    <col min="63" max="63" width="10.28515625" style="2" bestFit="1" customWidth="1"/>
    <col min="64" max="64" width="19.140625" style="2" bestFit="1" customWidth="1"/>
    <col min="65" max="65" width="20.140625" style="2" customWidth="1"/>
    <col min="66" max="16384" width="8.85546875" style="2"/>
  </cols>
  <sheetData>
    <row r="2" spans="1:65" s="3" customFormat="1" x14ac:dyDescent="0.25">
      <c r="A2" s="3" t="s">
        <v>247</v>
      </c>
      <c r="L2" s="39"/>
      <c r="AA2" s="39"/>
      <c r="AJ2" s="11"/>
      <c r="AP2" s="39"/>
      <c r="AV2" s="36"/>
      <c r="BB2" s="39"/>
      <c r="BH2" s="11"/>
    </row>
    <row r="3" spans="1:65" s="1" customFormat="1" x14ac:dyDescent="0.25">
      <c r="B3" s="1" t="s">
        <v>57</v>
      </c>
      <c r="L3" s="39"/>
      <c r="M3" s="1" t="s">
        <v>58</v>
      </c>
      <c r="AA3" s="39"/>
      <c r="AB3" s="1" t="s">
        <v>35</v>
      </c>
      <c r="AJ3" s="12"/>
      <c r="AP3" s="39"/>
      <c r="AQ3" s="1" t="s">
        <v>43</v>
      </c>
      <c r="AV3" s="15"/>
      <c r="BB3" s="39"/>
      <c r="BC3" s="1" t="s">
        <v>116</v>
      </c>
      <c r="BH3" s="12"/>
    </row>
    <row r="4" spans="1:65" s="1" customFormat="1" ht="90" x14ac:dyDescent="0.25">
      <c r="J4" s="1" t="s">
        <v>118</v>
      </c>
      <c r="L4" s="39"/>
      <c r="M4" s="1" t="s">
        <v>119</v>
      </c>
      <c r="V4" s="26" t="s">
        <v>248</v>
      </c>
      <c r="W4" s="26" t="s">
        <v>121</v>
      </c>
      <c r="X4" s="26" t="s">
        <v>122</v>
      </c>
      <c r="Y4" s="97" t="s">
        <v>123</v>
      </c>
      <c r="Z4" s="97"/>
      <c r="AA4" s="39"/>
      <c r="AB4" s="1" t="s">
        <v>119</v>
      </c>
      <c r="AJ4" s="12"/>
      <c r="AL4" s="26" t="s">
        <v>121</v>
      </c>
      <c r="AM4" s="26" t="s">
        <v>122</v>
      </c>
      <c r="AN4" s="97" t="s">
        <v>123</v>
      </c>
      <c r="AO4" s="97"/>
      <c r="AP4" s="39"/>
      <c r="AQ4" s="1" t="s">
        <v>119</v>
      </c>
      <c r="AV4" s="15" t="s">
        <v>125</v>
      </c>
      <c r="AW4" s="26" t="s">
        <v>121</v>
      </c>
      <c r="AX4" s="26" t="s">
        <v>122</v>
      </c>
      <c r="AY4" s="97" t="s">
        <v>123</v>
      </c>
      <c r="AZ4" s="97"/>
      <c r="BB4" s="39"/>
      <c r="BC4" s="98" t="s">
        <v>126</v>
      </c>
      <c r="BD4" s="98"/>
      <c r="BE4" s="98"/>
      <c r="BF4" s="98"/>
      <c r="BG4" s="98"/>
      <c r="BH4" s="98"/>
      <c r="BI4" s="98"/>
      <c r="BJ4" s="98"/>
      <c r="BM4" s="26" t="s">
        <v>127</v>
      </c>
    </row>
    <row r="5" spans="1:65" s="1" customFormat="1" ht="30" x14ac:dyDescent="0.25">
      <c r="A5" s="5"/>
      <c r="B5" s="1" t="s">
        <v>249</v>
      </c>
      <c r="C5" s="1" t="s">
        <v>250</v>
      </c>
      <c r="D5" s="1" t="s">
        <v>251</v>
      </c>
      <c r="E5" s="1" t="s">
        <v>252</v>
      </c>
      <c r="F5" s="1" t="s">
        <v>253</v>
      </c>
      <c r="G5" s="1" t="s">
        <v>254</v>
      </c>
      <c r="H5" s="1" t="s">
        <v>255</v>
      </c>
      <c r="I5" s="1" t="s">
        <v>256</v>
      </c>
      <c r="J5" s="1" t="s">
        <v>68</v>
      </c>
      <c r="K5" s="1" t="s">
        <v>133</v>
      </c>
      <c r="L5" s="39"/>
      <c r="M5" s="1" t="s">
        <v>249</v>
      </c>
      <c r="N5" s="1" t="s">
        <v>250</v>
      </c>
      <c r="O5" s="1" t="s">
        <v>251</v>
      </c>
      <c r="P5" s="1" t="s">
        <v>252</v>
      </c>
      <c r="Q5" s="1" t="s">
        <v>253</v>
      </c>
      <c r="R5" s="1" t="s">
        <v>254</v>
      </c>
      <c r="S5" s="1" t="s">
        <v>255</v>
      </c>
      <c r="T5" s="1" t="s">
        <v>256</v>
      </c>
      <c r="U5" s="1" t="s">
        <v>257</v>
      </c>
      <c r="V5" s="1" t="s">
        <v>258</v>
      </c>
      <c r="W5" s="1" t="s">
        <v>135</v>
      </c>
      <c r="X5" s="1" t="s">
        <v>136</v>
      </c>
      <c r="Y5" s="1" t="s">
        <v>68</v>
      </c>
      <c r="Z5" s="1" t="s">
        <v>133</v>
      </c>
      <c r="AA5" s="39"/>
      <c r="AB5" s="1" t="s">
        <v>249</v>
      </c>
      <c r="AC5" s="1" t="s">
        <v>250</v>
      </c>
      <c r="AD5" s="1" t="s">
        <v>251</v>
      </c>
      <c r="AE5" s="1" t="s">
        <v>252</v>
      </c>
      <c r="AF5" s="1" t="s">
        <v>253</v>
      </c>
      <c r="AG5" s="1" t="s">
        <v>254</v>
      </c>
      <c r="AH5" s="1" t="s">
        <v>255</v>
      </c>
      <c r="AI5" s="1" t="s">
        <v>256</v>
      </c>
      <c r="AJ5" s="43" t="s">
        <v>259</v>
      </c>
      <c r="AK5" s="1" t="s">
        <v>257</v>
      </c>
      <c r="AL5" s="1" t="s">
        <v>135</v>
      </c>
      <c r="AM5" s="1" t="s">
        <v>136</v>
      </c>
      <c r="AN5" s="1" t="s">
        <v>68</v>
      </c>
      <c r="AO5" s="1" t="s">
        <v>133</v>
      </c>
      <c r="AP5" s="39"/>
      <c r="AQ5" s="1" t="s">
        <v>260</v>
      </c>
      <c r="AR5" s="1" t="s">
        <v>261</v>
      </c>
      <c r="AS5" s="1" t="s">
        <v>254</v>
      </c>
      <c r="AT5" s="1" t="s">
        <v>262</v>
      </c>
      <c r="AU5" s="1" t="s">
        <v>257</v>
      </c>
      <c r="AV5" s="15" t="s">
        <v>132</v>
      </c>
      <c r="AW5" s="1" t="s">
        <v>135</v>
      </c>
      <c r="AX5" s="1" t="s">
        <v>136</v>
      </c>
      <c r="AY5" s="1" t="s">
        <v>68</v>
      </c>
      <c r="AZ5" s="1" t="s">
        <v>133</v>
      </c>
      <c r="BB5" s="39"/>
      <c r="BC5" s="1" t="s">
        <v>260</v>
      </c>
      <c r="BD5" s="1" t="s">
        <v>261</v>
      </c>
      <c r="BE5" s="1" t="s">
        <v>254</v>
      </c>
      <c r="BF5" s="1" t="s">
        <v>262</v>
      </c>
      <c r="BG5" s="1" t="s">
        <v>257</v>
      </c>
      <c r="BH5" s="15" t="s">
        <v>132</v>
      </c>
      <c r="BI5" s="1" t="s">
        <v>135</v>
      </c>
      <c r="BJ5" s="1" t="s">
        <v>136</v>
      </c>
      <c r="BK5" s="1" t="s">
        <v>68</v>
      </c>
      <c r="BL5" s="1" t="s">
        <v>133</v>
      </c>
      <c r="BM5" s="1" t="s">
        <v>138</v>
      </c>
    </row>
    <row r="6" spans="1:65" s="26" customFormat="1" ht="60" x14ac:dyDescent="0.25">
      <c r="A6" s="35" t="s">
        <v>139</v>
      </c>
      <c r="B6" s="23" t="s">
        <v>263</v>
      </c>
      <c r="C6" s="23" t="s">
        <v>264</v>
      </c>
      <c r="D6" s="23" t="s">
        <v>265</v>
      </c>
      <c r="E6" s="23"/>
      <c r="F6" s="23" t="s">
        <v>266</v>
      </c>
      <c r="G6" s="23"/>
      <c r="H6" s="23" t="s">
        <v>101</v>
      </c>
      <c r="I6" s="23" t="s">
        <v>267</v>
      </c>
      <c r="J6" s="23" t="s">
        <v>139</v>
      </c>
      <c r="K6" s="23" t="s">
        <v>144</v>
      </c>
      <c r="L6" s="40"/>
      <c r="M6" s="23" t="s">
        <v>263</v>
      </c>
      <c r="N6" s="23" t="s">
        <v>264</v>
      </c>
      <c r="O6" s="23" t="s">
        <v>265</v>
      </c>
      <c r="P6" s="23"/>
      <c r="Q6" s="23" t="s">
        <v>266</v>
      </c>
      <c r="R6" s="23"/>
      <c r="S6" s="23" t="s">
        <v>101</v>
      </c>
      <c r="T6" s="23" t="s">
        <v>267</v>
      </c>
      <c r="U6" s="23" t="s">
        <v>145</v>
      </c>
      <c r="V6" s="23"/>
      <c r="W6" s="23" t="s">
        <v>139</v>
      </c>
      <c r="X6" s="23" t="s">
        <v>139</v>
      </c>
      <c r="Y6" s="23" t="s">
        <v>139</v>
      </c>
      <c r="Z6" s="23" t="s">
        <v>144</v>
      </c>
      <c r="AA6" s="40"/>
      <c r="AB6" s="23" t="s">
        <v>263</v>
      </c>
      <c r="AC6" s="23" t="s">
        <v>264</v>
      </c>
      <c r="AD6" s="23" t="s">
        <v>265</v>
      </c>
      <c r="AE6" s="23"/>
      <c r="AF6" s="23" t="s">
        <v>266</v>
      </c>
      <c r="AG6" s="23"/>
      <c r="AH6" s="23" t="s">
        <v>101</v>
      </c>
      <c r="AI6" s="23" t="s">
        <v>267</v>
      </c>
      <c r="AJ6" s="4" t="str">
        <f>AC6 &amp; " " &amp; AD6 &amp; " " &amp; AE6</f>
        <v xml:space="preserve">KENANGA NOMINEES (ASING) SDN BHD DUAN XINGCONG </v>
      </c>
      <c r="AK6" s="23" t="s">
        <v>145</v>
      </c>
      <c r="AL6" s="23" t="s">
        <v>139</v>
      </c>
      <c r="AM6" s="23" t="s">
        <v>139</v>
      </c>
      <c r="AN6" s="23" t="s">
        <v>139</v>
      </c>
      <c r="AO6" s="23" t="s">
        <v>144</v>
      </c>
      <c r="AP6" s="40"/>
      <c r="AQ6" s="23" t="s">
        <v>263</v>
      </c>
      <c r="AR6" s="23" t="s">
        <v>268</v>
      </c>
      <c r="AS6" s="23"/>
      <c r="AT6" s="23" t="s">
        <v>269</v>
      </c>
      <c r="AU6" s="23" t="s">
        <v>145</v>
      </c>
      <c r="AV6" s="23" t="str">
        <f>AQ6&amp;AR6&amp;AS6&amp;AT6&amp;AU6</f>
        <v>KE2108262KENANGA NOMINEES (ASING) SDN BHD DUAN XINGCONG ACTIVEA</v>
      </c>
      <c r="AW6" s="23" t="s">
        <v>139</v>
      </c>
      <c r="AX6" s="23" t="s">
        <v>139</v>
      </c>
      <c r="AY6" s="23" t="s">
        <v>139</v>
      </c>
      <c r="AZ6" s="23" t="s">
        <v>144</v>
      </c>
      <c r="BB6" s="40"/>
      <c r="BC6" s="23"/>
      <c r="BD6" s="23"/>
      <c r="BE6" s="23"/>
      <c r="BG6" s="23"/>
      <c r="BH6" s="15"/>
    </row>
    <row r="7" spans="1:65" s="23" customFormat="1" ht="90" x14ac:dyDescent="0.25">
      <c r="B7" s="23" t="s">
        <v>270</v>
      </c>
      <c r="C7" s="23" t="s">
        <v>271</v>
      </c>
      <c r="D7" s="23" t="s">
        <v>272</v>
      </c>
      <c r="E7" s="23" t="s">
        <v>273</v>
      </c>
      <c r="F7" s="23" t="s">
        <v>274</v>
      </c>
      <c r="H7" s="23" t="s">
        <v>101</v>
      </c>
      <c r="I7" s="23" t="s">
        <v>267</v>
      </c>
      <c r="J7" s="23" t="s">
        <v>139</v>
      </c>
      <c r="K7" s="23" t="s">
        <v>144</v>
      </c>
      <c r="L7" s="40"/>
      <c r="M7" s="23" t="s">
        <v>270</v>
      </c>
      <c r="N7" s="23" t="s">
        <v>271</v>
      </c>
      <c r="O7" s="23" t="s">
        <v>272</v>
      </c>
      <c r="P7" s="23" t="s">
        <v>273</v>
      </c>
      <c r="Q7" s="23" t="s">
        <v>274</v>
      </c>
      <c r="S7" s="23" t="s">
        <v>101</v>
      </c>
      <c r="T7" s="23" t="s">
        <v>267</v>
      </c>
      <c r="U7" s="23" t="s">
        <v>145</v>
      </c>
      <c r="W7" s="23" t="s">
        <v>139</v>
      </c>
      <c r="X7" s="23" t="s">
        <v>139</v>
      </c>
      <c r="Y7" s="23" t="s">
        <v>139</v>
      </c>
      <c r="Z7" s="23" t="s">
        <v>144</v>
      </c>
      <c r="AA7" s="40"/>
      <c r="AB7" s="23" t="s">
        <v>270</v>
      </c>
      <c r="AC7" s="23" t="s">
        <v>271</v>
      </c>
      <c r="AD7" s="23" t="s">
        <v>272</v>
      </c>
      <c r="AE7" s="23" t="s">
        <v>273</v>
      </c>
      <c r="AF7" s="23" t="s">
        <v>274</v>
      </c>
      <c r="AH7" s="23" t="s">
        <v>101</v>
      </c>
      <c r="AI7" s="23" t="s">
        <v>267</v>
      </c>
      <c r="AJ7" s="4" t="str">
        <f t="shared" ref="AJ7:AJ27" si="0">AC7 &amp; " " &amp; AD7 &amp; " " &amp; AE7</f>
        <v>KENANGA NOMINEES (TEMPATAN) SDN BHD PLEDGED SECURITIES ACCOUNT FOR SREETHARARAJ A/L NADARAJAH</v>
      </c>
      <c r="AK7" s="23" t="s">
        <v>145</v>
      </c>
      <c r="AL7" s="23" t="s">
        <v>139</v>
      </c>
      <c r="AM7" s="23" t="s">
        <v>139</v>
      </c>
      <c r="AN7" s="23" t="s">
        <v>139</v>
      </c>
      <c r="AO7" s="23" t="s">
        <v>144</v>
      </c>
      <c r="AP7" s="40"/>
      <c r="AQ7" s="23" t="s">
        <v>270</v>
      </c>
      <c r="AR7" s="23" t="s">
        <v>275</v>
      </c>
      <c r="AT7" s="23" t="s">
        <v>269</v>
      </c>
      <c r="AU7" s="23" t="s">
        <v>145</v>
      </c>
      <c r="AV7" s="23" t="str">
        <f t="shared" ref="AV7:AV27" si="1">AQ7&amp;AR7&amp;AS7&amp;AT7&amp;AU7</f>
        <v>MGR005919KENANGA NOMINEES (TEMPATAN) SDN BHD PLEDGED SECURITIES ACCOUNT FOR SREETHARARAJ A/L NADARAJAHACTIVEA</v>
      </c>
      <c r="AW7" s="23" t="s">
        <v>139</v>
      </c>
      <c r="AX7" s="23" t="s">
        <v>139</v>
      </c>
      <c r="AY7" s="23" t="s">
        <v>139</v>
      </c>
      <c r="AZ7" s="23" t="s">
        <v>144</v>
      </c>
      <c r="BB7" s="40"/>
      <c r="BH7" s="4"/>
    </row>
    <row r="8" spans="1:65" s="23" customFormat="1" ht="45" x14ac:dyDescent="0.25">
      <c r="B8" s="23" t="s">
        <v>276</v>
      </c>
      <c r="C8" s="23" t="s">
        <v>277</v>
      </c>
      <c r="F8" s="23" t="s">
        <v>278</v>
      </c>
      <c r="H8" s="23" t="s">
        <v>101</v>
      </c>
      <c r="I8" s="23" t="s">
        <v>279</v>
      </c>
      <c r="J8" s="23" t="s">
        <v>139</v>
      </c>
      <c r="K8" s="23" t="s">
        <v>144</v>
      </c>
      <c r="L8" s="40"/>
      <c r="M8" s="23" t="s">
        <v>276</v>
      </c>
      <c r="N8" s="23" t="s">
        <v>277</v>
      </c>
      <c r="Q8" s="23" t="s">
        <v>278</v>
      </c>
      <c r="S8" s="23" t="s">
        <v>101</v>
      </c>
      <c r="T8" s="23" t="s">
        <v>279</v>
      </c>
      <c r="U8" s="23" t="s">
        <v>145</v>
      </c>
      <c r="W8" s="23" t="s">
        <v>139</v>
      </c>
      <c r="X8" s="23" t="s">
        <v>139</v>
      </c>
      <c r="Y8" s="23" t="s">
        <v>139</v>
      </c>
      <c r="Z8" s="23" t="s">
        <v>144</v>
      </c>
      <c r="AA8" s="40"/>
      <c r="AB8" s="23" t="s">
        <v>276</v>
      </c>
      <c r="AC8" s="23" t="s">
        <v>277</v>
      </c>
      <c r="AF8" s="23" t="s">
        <v>278</v>
      </c>
      <c r="AH8" s="23" t="s">
        <v>101</v>
      </c>
      <c r="AI8" s="23" t="s">
        <v>279</v>
      </c>
      <c r="AJ8" s="4" t="str">
        <f t="shared" si="0"/>
        <v xml:space="preserve">FONG HIANG LAENG MAXWELL  </v>
      </c>
      <c r="AK8" s="23" t="s">
        <v>145</v>
      </c>
      <c r="AL8" s="23" t="s">
        <v>139</v>
      </c>
      <c r="AM8" s="23" t="s">
        <v>139</v>
      </c>
      <c r="AN8" s="23" t="s">
        <v>139</v>
      </c>
      <c r="AO8" s="23" t="s">
        <v>144</v>
      </c>
      <c r="AP8" s="40"/>
      <c r="AQ8" s="23" t="s">
        <v>276</v>
      </c>
      <c r="AR8" s="23" t="s">
        <v>280</v>
      </c>
      <c r="AT8" s="23" t="s">
        <v>269</v>
      </c>
      <c r="AU8" s="23" t="s">
        <v>145</v>
      </c>
      <c r="AV8" s="23" t="str">
        <f t="shared" si="1"/>
        <v>FO2021090FONG HIANG LAENG MAXWELL  ACTIVEA</v>
      </c>
      <c r="AW8" s="23" t="s">
        <v>139</v>
      </c>
      <c r="AX8" s="23" t="s">
        <v>139</v>
      </c>
      <c r="AY8" s="23" t="s">
        <v>139</v>
      </c>
      <c r="AZ8" s="23" t="s">
        <v>144</v>
      </c>
      <c r="BB8" s="40"/>
      <c r="BH8" s="4"/>
    </row>
    <row r="9" spans="1:65" s="23" customFormat="1" ht="105" x14ac:dyDescent="0.25">
      <c r="B9" s="23" t="s">
        <v>281</v>
      </c>
      <c r="C9" s="23" t="s">
        <v>282</v>
      </c>
      <c r="D9" s="23" t="s">
        <v>283</v>
      </c>
      <c r="F9" s="23" t="s">
        <v>284</v>
      </c>
      <c r="H9" s="23" t="s">
        <v>101</v>
      </c>
      <c r="I9" s="23" t="s">
        <v>285</v>
      </c>
      <c r="J9" s="23" t="s">
        <v>139</v>
      </c>
      <c r="K9" s="23" t="s">
        <v>144</v>
      </c>
      <c r="L9" s="40"/>
      <c r="M9" s="23" t="s">
        <v>281</v>
      </c>
      <c r="N9" s="23" t="s">
        <v>282</v>
      </c>
      <c r="O9" s="23" t="s">
        <v>283</v>
      </c>
      <c r="Q9" s="23" t="s">
        <v>284</v>
      </c>
      <c r="S9" s="23" t="s">
        <v>101</v>
      </c>
      <c r="T9" s="23" t="s">
        <v>285</v>
      </c>
      <c r="U9" s="23" t="s">
        <v>145</v>
      </c>
      <c r="W9" s="23" t="s">
        <v>139</v>
      </c>
      <c r="X9" s="23" t="s">
        <v>139</v>
      </c>
      <c r="Y9" s="23" t="s">
        <v>139</v>
      </c>
      <c r="Z9" s="23" t="s">
        <v>144</v>
      </c>
      <c r="AA9" s="40"/>
      <c r="AB9" s="23" t="s">
        <v>281</v>
      </c>
      <c r="AC9" s="23" t="s">
        <v>282</v>
      </c>
      <c r="AD9" s="23" t="s">
        <v>283</v>
      </c>
      <c r="AF9" s="23" t="s">
        <v>284</v>
      </c>
      <c r="AH9" s="23" t="s">
        <v>101</v>
      </c>
      <c r="AI9" s="23" t="s">
        <v>285</v>
      </c>
      <c r="AJ9" s="4" t="str">
        <f t="shared" si="0"/>
        <v xml:space="preserve">GREAT EASTERN LIFE ASSURANCE (MALAYSIA) BERHAD FOR GREAT EASTERN LIFE ASSURANCE (MALAYSIA) BERHAD (SHF T2) </v>
      </c>
      <c r="AK9" s="23" t="s">
        <v>145</v>
      </c>
      <c r="AL9" s="23" t="s">
        <v>139</v>
      </c>
      <c r="AM9" s="23" t="s">
        <v>139</v>
      </c>
      <c r="AN9" s="23" t="s">
        <v>139</v>
      </c>
      <c r="AO9" s="23" t="s">
        <v>144</v>
      </c>
      <c r="AP9" s="40"/>
      <c r="AQ9" s="23" t="s">
        <v>281</v>
      </c>
      <c r="AR9" s="23" t="s">
        <v>286</v>
      </c>
      <c r="AT9" s="23" t="s">
        <v>269</v>
      </c>
      <c r="AU9" s="23" t="s">
        <v>145</v>
      </c>
      <c r="AV9" s="23" t="str">
        <f t="shared" si="1"/>
        <v>GR2132910GREAT EASTERN LIFE ASSURANCE (MALAYSIA) BERHAD FOR GREAT EASTERN LIFE ASSURANCE (MALAYSIA) BERHAD (SHF T2) ACTIVEA</v>
      </c>
      <c r="AW9" s="23" t="s">
        <v>139</v>
      </c>
      <c r="AX9" s="23" t="s">
        <v>139</v>
      </c>
      <c r="AY9" s="23" t="s">
        <v>139</v>
      </c>
      <c r="AZ9" s="23" t="s">
        <v>144</v>
      </c>
      <c r="BB9" s="40"/>
      <c r="BH9" s="4"/>
    </row>
    <row r="10" spans="1:65" s="23" customFormat="1" ht="30" x14ac:dyDescent="0.25">
      <c r="B10" s="23" t="s">
        <v>287</v>
      </c>
      <c r="C10" s="23" t="s">
        <v>288</v>
      </c>
      <c r="F10" s="23" t="s">
        <v>289</v>
      </c>
      <c r="H10" s="23" t="s">
        <v>101</v>
      </c>
      <c r="I10" s="23" t="s">
        <v>290</v>
      </c>
      <c r="J10" s="23" t="s">
        <v>139</v>
      </c>
      <c r="K10" s="23" t="s">
        <v>144</v>
      </c>
      <c r="L10" s="40"/>
      <c r="M10" s="23" t="s">
        <v>287</v>
      </c>
      <c r="N10" s="23" t="s">
        <v>288</v>
      </c>
      <c r="Q10" s="23" t="s">
        <v>289</v>
      </c>
      <c r="S10" s="23" t="s">
        <v>101</v>
      </c>
      <c r="T10" s="23" t="s">
        <v>290</v>
      </c>
      <c r="U10" s="23" t="s">
        <v>145</v>
      </c>
      <c r="W10" s="23" t="s">
        <v>139</v>
      </c>
      <c r="X10" s="23" t="s">
        <v>139</v>
      </c>
      <c r="Y10" s="23" t="s">
        <v>139</v>
      </c>
      <c r="Z10" s="23" t="s">
        <v>144</v>
      </c>
      <c r="AA10" s="40"/>
      <c r="AB10" s="23" t="s">
        <v>287</v>
      </c>
      <c r="AC10" s="23" t="s">
        <v>288</v>
      </c>
      <c r="AF10" s="23" t="s">
        <v>289</v>
      </c>
      <c r="AH10" s="23" t="s">
        <v>101</v>
      </c>
      <c r="AI10" s="23" t="s">
        <v>290</v>
      </c>
      <c r="AJ10" s="4" t="str">
        <f t="shared" si="0"/>
        <v xml:space="preserve">MOK KIN SOON  </v>
      </c>
      <c r="AK10" s="23" t="s">
        <v>145</v>
      </c>
      <c r="AL10" s="23" t="s">
        <v>139</v>
      </c>
      <c r="AM10" s="23" t="s">
        <v>139</v>
      </c>
      <c r="AN10" s="23" t="s">
        <v>139</v>
      </c>
      <c r="AO10" s="23" t="s">
        <v>144</v>
      </c>
      <c r="AP10" s="40"/>
      <c r="AQ10" s="23" t="s">
        <v>287</v>
      </c>
      <c r="AR10" s="23" t="s">
        <v>291</v>
      </c>
      <c r="AT10" s="23" t="s">
        <v>269</v>
      </c>
      <c r="AU10" s="23" t="s">
        <v>145</v>
      </c>
      <c r="AV10" s="23" t="str">
        <f t="shared" si="1"/>
        <v>MO0326710MOK KIN SOON  ACTIVEA</v>
      </c>
      <c r="AW10" s="23" t="s">
        <v>139</v>
      </c>
      <c r="AX10" s="23" t="s">
        <v>139</v>
      </c>
      <c r="AY10" s="23" t="s">
        <v>139</v>
      </c>
      <c r="AZ10" s="23" t="s">
        <v>144</v>
      </c>
      <c r="BB10" s="40"/>
      <c r="BH10" s="4"/>
    </row>
    <row r="11" spans="1:65" s="23" customFormat="1" ht="30" x14ac:dyDescent="0.25">
      <c r="B11" s="23" t="s">
        <v>292</v>
      </c>
      <c r="C11" s="23" t="s">
        <v>293</v>
      </c>
      <c r="F11" s="23" t="s">
        <v>294</v>
      </c>
      <c r="H11" s="23" t="s">
        <v>101</v>
      </c>
      <c r="I11" s="23" t="s">
        <v>295</v>
      </c>
      <c r="J11" s="23" t="s">
        <v>139</v>
      </c>
      <c r="K11" s="23" t="s">
        <v>144</v>
      </c>
      <c r="L11" s="40"/>
      <c r="M11" s="23" t="s">
        <v>292</v>
      </c>
      <c r="N11" s="23" t="s">
        <v>293</v>
      </c>
      <c r="Q11" s="23" t="s">
        <v>294</v>
      </c>
      <c r="S11" s="23" t="s">
        <v>101</v>
      </c>
      <c r="T11" s="23" t="s">
        <v>295</v>
      </c>
      <c r="U11" s="23" t="s">
        <v>145</v>
      </c>
      <c r="W11" s="23" t="s">
        <v>139</v>
      </c>
      <c r="X11" s="23" t="s">
        <v>139</v>
      </c>
      <c r="Y11" s="23" t="s">
        <v>139</v>
      </c>
      <c r="Z11" s="23" t="s">
        <v>144</v>
      </c>
      <c r="AA11" s="40"/>
      <c r="AB11" s="23" t="s">
        <v>292</v>
      </c>
      <c r="AC11" s="23" t="s">
        <v>293</v>
      </c>
      <c r="AF11" s="23" t="s">
        <v>294</v>
      </c>
      <c r="AH11" s="23" t="s">
        <v>101</v>
      </c>
      <c r="AI11" s="23" t="s">
        <v>295</v>
      </c>
      <c r="AJ11" s="4" t="str">
        <f t="shared" si="0"/>
        <v xml:space="preserve">NG WENG CHUAH  </v>
      </c>
      <c r="AK11" s="23" t="s">
        <v>145</v>
      </c>
      <c r="AL11" s="23" t="s">
        <v>139</v>
      </c>
      <c r="AM11" s="23" t="s">
        <v>139</v>
      </c>
      <c r="AN11" s="23" t="s">
        <v>139</v>
      </c>
      <c r="AO11" s="23" t="s">
        <v>144</v>
      </c>
      <c r="AP11" s="40"/>
      <c r="AQ11" s="23" t="s">
        <v>292</v>
      </c>
      <c r="AR11" s="23" t="s">
        <v>296</v>
      </c>
      <c r="AT11" s="23" t="s">
        <v>269</v>
      </c>
      <c r="AU11" s="23" t="s">
        <v>145</v>
      </c>
      <c r="AV11" s="23" t="str">
        <f t="shared" si="1"/>
        <v>NG0327522NG WENG CHUAH  ACTIVEA</v>
      </c>
      <c r="AW11" s="23" t="s">
        <v>139</v>
      </c>
      <c r="AX11" s="23" t="s">
        <v>139</v>
      </c>
      <c r="AY11" s="23" t="s">
        <v>139</v>
      </c>
      <c r="AZ11" s="23" t="s">
        <v>144</v>
      </c>
      <c r="BB11" s="40"/>
      <c r="BH11" s="4"/>
    </row>
    <row r="12" spans="1:65" s="23" customFormat="1" ht="30" x14ac:dyDescent="0.25">
      <c r="B12" s="23" t="s">
        <v>297</v>
      </c>
      <c r="C12" s="23" t="s">
        <v>298</v>
      </c>
      <c r="F12" s="23" t="s">
        <v>299</v>
      </c>
      <c r="H12" s="23" t="s">
        <v>101</v>
      </c>
      <c r="I12" s="23" t="s">
        <v>300</v>
      </c>
      <c r="J12" s="23" t="s">
        <v>139</v>
      </c>
      <c r="K12" s="23" t="s">
        <v>144</v>
      </c>
      <c r="L12" s="40"/>
      <c r="M12" s="23" t="s">
        <v>297</v>
      </c>
      <c r="N12" s="23" t="s">
        <v>298</v>
      </c>
      <c r="Q12" s="23" t="s">
        <v>299</v>
      </c>
      <c r="S12" s="23" t="s">
        <v>101</v>
      </c>
      <c r="T12" s="23" t="s">
        <v>300</v>
      </c>
      <c r="U12" s="23" t="s">
        <v>145</v>
      </c>
      <c r="W12" s="23" t="s">
        <v>139</v>
      </c>
      <c r="X12" s="23" t="s">
        <v>139</v>
      </c>
      <c r="Y12" s="23" t="s">
        <v>139</v>
      </c>
      <c r="Z12" s="23" t="s">
        <v>144</v>
      </c>
      <c r="AA12" s="40"/>
      <c r="AB12" s="23" t="s">
        <v>297</v>
      </c>
      <c r="AC12" s="23" t="s">
        <v>298</v>
      </c>
      <c r="AF12" s="23" t="s">
        <v>299</v>
      </c>
      <c r="AH12" s="23" t="s">
        <v>101</v>
      </c>
      <c r="AI12" s="23" t="s">
        <v>300</v>
      </c>
      <c r="AJ12" s="4" t="str">
        <f t="shared" si="0"/>
        <v xml:space="preserve">WONG SIONG SEH  </v>
      </c>
      <c r="AK12" s="23" t="s">
        <v>145</v>
      </c>
      <c r="AL12" s="23" t="s">
        <v>139</v>
      </c>
      <c r="AM12" s="23" t="s">
        <v>139</v>
      </c>
      <c r="AN12" s="23" t="s">
        <v>139</v>
      </c>
      <c r="AO12" s="23" t="s">
        <v>144</v>
      </c>
      <c r="AP12" s="40"/>
      <c r="AQ12" s="23" t="s">
        <v>297</v>
      </c>
      <c r="AR12" s="23" t="s">
        <v>301</v>
      </c>
      <c r="AT12" s="23" t="s">
        <v>269</v>
      </c>
      <c r="AU12" s="23" t="s">
        <v>145</v>
      </c>
      <c r="AV12" s="23" t="str">
        <f t="shared" si="1"/>
        <v>WO0193856WONG SIONG SEH  ACTIVEA</v>
      </c>
      <c r="AW12" s="23" t="s">
        <v>139</v>
      </c>
      <c r="AX12" s="23" t="s">
        <v>139</v>
      </c>
      <c r="AY12" s="23" t="s">
        <v>139</v>
      </c>
      <c r="AZ12" s="23" t="s">
        <v>144</v>
      </c>
      <c r="BB12" s="40"/>
      <c r="BH12" s="4"/>
    </row>
    <row r="13" spans="1:65" s="23" customFormat="1" ht="30" x14ac:dyDescent="0.25">
      <c r="B13" s="23" t="s">
        <v>302</v>
      </c>
      <c r="C13" s="23" t="s">
        <v>303</v>
      </c>
      <c r="F13" s="23" t="s">
        <v>304</v>
      </c>
      <c r="H13" s="23" t="s">
        <v>101</v>
      </c>
      <c r="I13" s="23" t="s">
        <v>305</v>
      </c>
      <c r="J13" s="23" t="s">
        <v>139</v>
      </c>
      <c r="K13" s="23" t="s">
        <v>144</v>
      </c>
      <c r="L13" s="40"/>
      <c r="M13" s="23" t="s">
        <v>302</v>
      </c>
      <c r="N13" s="23" t="s">
        <v>303</v>
      </c>
      <c r="Q13" s="23" t="s">
        <v>304</v>
      </c>
      <c r="S13" s="23" t="s">
        <v>101</v>
      </c>
      <c r="T13" s="23" t="s">
        <v>305</v>
      </c>
      <c r="U13" s="23" t="s">
        <v>145</v>
      </c>
      <c r="W13" s="23" t="s">
        <v>139</v>
      </c>
      <c r="X13" s="23" t="s">
        <v>139</v>
      </c>
      <c r="Y13" s="23" t="s">
        <v>139</v>
      </c>
      <c r="Z13" s="23" t="s">
        <v>144</v>
      </c>
      <c r="AA13" s="40"/>
      <c r="AB13" s="23" t="s">
        <v>302</v>
      </c>
      <c r="AC13" s="23" t="s">
        <v>303</v>
      </c>
      <c r="AF13" s="23" t="s">
        <v>304</v>
      </c>
      <c r="AH13" s="23" t="s">
        <v>101</v>
      </c>
      <c r="AI13" s="23" t="s">
        <v>305</v>
      </c>
      <c r="AJ13" s="4" t="str">
        <f t="shared" si="0"/>
        <v xml:space="preserve">CHONG HOY KHEE  </v>
      </c>
      <c r="AK13" s="23" t="s">
        <v>145</v>
      </c>
      <c r="AL13" s="23" t="s">
        <v>139</v>
      </c>
      <c r="AM13" s="23" t="s">
        <v>139</v>
      </c>
      <c r="AN13" s="23" t="s">
        <v>139</v>
      </c>
      <c r="AO13" s="23" t="s">
        <v>144</v>
      </c>
      <c r="AP13" s="40"/>
      <c r="AQ13" s="23" t="s">
        <v>302</v>
      </c>
      <c r="AR13" s="23" t="s">
        <v>306</v>
      </c>
      <c r="AT13" s="23" t="s">
        <v>269</v>
      </c>
      <c r="AU13" s="23" t="s">
        <v>145</v>
      </c>
      <c r="AV13" s="23" t="str">
        <f t="shared" si="1"/>
        <v>CH0297285CHONG HOY KHEE  ACTIVEA</v>
      </c>
      <c r="AW13" s="23" t="s">
        <v>139</v>
      </c>
      <c r="AX13" s="23" t="s">
        <v>139</v>
      </c>
      <c r="AY13" s="23" t="s">
        <v>139</v>
      </c>
      <c r="AZ13" s="23" t="s">
        <v>144</v>
      </c>
      <c r="BB13" s="40"/>
      <c r="BH13" s="4"/>
    </row>
    <row r="14" spans="1:65" s="23" customFormat="1" ht="30" x14ac:dyDescent="0.25">
      <c r="B14" s="23" t="s">
        <v>307</v>
      </c>
      <c r="C14" s="23" t="s">
        <v>308</v>
      </c>
      <c r="F14" s="23" t="s">
        <v>309</v>
      </c>
      <c r="H14" s="23" t="s">
        <v>101</v>
      </c>
      <c r="I14" s="23" t="s">
        <v>310</v>
      </c>
      <c r="J14" s="23" t="s">
        <v>139</v>
      </c>
      <c r="K14" s="23" t="s">
        <v>144</v>
      </c>
      <c r="L14" s="40"/>
      <c r="M14" s="23" t="s">
        <v>307</v>
      </c>
      <c r="N14" s="23" t="s">
        <v>308</v>
      </c>
      <c r="Q14" s="23" t="s">
        <v>309</v>
      </c>
      <c r="S14" s="23" t="s">
        <v>101</v>
      </c>
      <c r="T14" s="23" t="s">
        <v>310</v>
      </c>
      <c r="U14" s="23" t="s">
        <v>145</v>
      </c>
      <c r="W14" s="23" t="s">
        <v>139</v>
      </c>
      <c r="X14" s="23" t="s">
        <v>139</v>
      </c>
      <c r="Y14" s="23" t="s">
        <v>139</v>
      </c>
      <c r="Z14" s="23" t="s">
        <v>144</v>
      </c>
      <c r="AA14" s="40"/>
      <c r="AB14" s="23" t="s">
        <v>307</v>
      </c>
      <c r="AC14" s="23" t="s">
        <v>308</v>
      </c>
      <c r="AF14" s="23" t="s">
        <v>309</v>
      </c>
      <c r="AH14" s="23" t="s">
        <v>101</v>
      </c>
      <c r="AI14" s="23" t="s">
        <v>310</v>
      </c>
      <c r="AJ14" s="4" t="str">
        <f t="shared" si="0"/>
        <v xml:space="preserve">LIM EE LEONG  </v>
      </c>
      <c r="AK14" s="23" t="s">
        <v>145</v>
      </c>
      <c r="AL14" s="23" t="s">
        <v>139</v>
      </c>
      <c r="AM14" s="23" t="s">
        <v>139</v>
      </c>
      <c r="AN14" s="23" t="s">
        <v>139</v>
      </c>
      <c r="AO14" s="23" t="s">
        <v>144</v>
      </c>
      <c r="AP14" s="40"/>
      <c r="AQ14" s="23" t="s">
        <v>307</v>
      </c>
      <c r="AR14" s="23" t="s">
        <v>311</v>
      </c>
      <c r="AT14" s="23" t="s">
        <v>269</v>
      </c>
      <c r="AU14" s="23" t="s">
        <v>145</v>
      </c>
      <c r="AV14" s="23" t="str">
        <f t="shared" si="1"/>
        <v>LI0373025LIM EE LEONG  ACTIVEA</v>
      </c>
      <c r="AW14" s="23" t="s">
        <v>139</v>
      </c>
      <c r="AX14" s="23" t="s">
        <v>139</v>
      </c>
      <c r="AY14" s="23" t="s">
        <v>139</v>
      </c>
      <c r="AZ14" s="23" t="s">
        <v>144</v>
      </c>
      <c r="BB14" s="40"/>
      <c r="BH14" s="4"/>
    </row>
    <row r="15" spans="1:65" s="23" customFormat="1" ht="45" x14ac:dyDescent="0.25">
      <c r="B15" s="23" t="s">
        <v>312</v>
      </c>
      <c r="C15" s="23" t="s">
        <v>313</v>
      </c>
      <c r="F15" s="23" t="s">
        <v>314</v>
      </c>
      <c r="H15" s="23" t="s">
        <v>101</v>
      </c>
      <c r="I15" s="23" t="s">
        <v>315</v>
      </c>
      <c r="J15" s="23" t="s">
        <v>139</v>
      </c>
      <c r="K15" s="23" t="s">
        <v>144</v>
      </c>
      <c r="L15" s="40"/>
      <c r="M15" s="23" t="s">
        <v>312</v>
      </c>
      <c r="N15" s="23" t="s">
        <v>313</v>
      </c>
      <c r="Q15" s="23" t="s">
        <v>314</v>
      </c>
      <c r="S15" s="23" t="s">
        <v>101</v>
      </c>
      <c r="T15" s="23" t="s">
        <v>315</v>
      </c>
      <c r="U15" s="23" t="s">
        <v>145</v>
      </c>
      <c r="W15" s="23" t="s">
        <v>139</v>
      </c>
      <c r="X15" s="23" t="s">
        <v>139</v>
      </c>
      <c r="Y15" s="23" t="s">
        <v>139</v>
      </c>
      <c r="Z15" s="23" t="s">
        <v>144</v>
      </c>
      <c r="AA15" s="40"/>
      <c r="AB15" s="23" t="s">
        <v>312</v>
      </c>
      <c r="AC15" s="23" t="s">
        <v>313</v>
      </c>
      <c r="AF15" s="23" t="s">
        <v>314</v>
      </c>
      <c r="AH15" s="23" t="s">
        <v>101</v>
      </c>
      <c r="AI15" s="23" t="s">
        <v>315</v>
      </c>
      <c r="AJ15" s="4" t="str">
        <f t="shared" si="0"/>
        <v xml:space="preserve">KEENYAP PROPERTIES SDN BHD  </v>
      </c>
      <c r="AK15" s="23" t="s">
        <v>145</v>
      </c>
      <c r="AL15" s="23" t="s">
        <v>139</v>
      </c>
      <c r="AM15" s="23" t="s">
        <v>139</v>
      </c>
      <c r="AN15" s="23" t="s">
        <v>139</v>
      </c>
      <c r="AO15" s="23" t="s">
        <v>144</v>
      </c>
      <c r="AP15" s="40"/>
      <c r="AQ15" s="23" t="s">
        <v>312</v>
      </c>
      <c r="AR15" s="23" t="s">
        <v>316</v>
      </c>
      <c r="AT15" s="23" t="s">
        <v>269</v>
      </c>
      <c r="AU15" s="23" t="s">
        <v>145</v>
      </c>
      <c r="AV15" s="23" t="str">
        <f t="shared" si="1"/>
        <v>KE0399683KEENYAP PROPERTIES SDN BHD  ACTIVEA</v>
      </c>
      <c r="AW15" s="23" t="s">
        <v>139</v>
      </c>
      <c r="AX15" s="23" t="s">
        <v>139</v>
      </c>
      <c r="AY15" s="23" t="s">
        <v>139</v>
      </c>
      <c r="AZ15" s="23" t="s">
        <v>144</v>
      </c>
      <c r="BB15" s="40"/>
      <c r="BH15" s="4"/>
    </row>
    <row r="16" spans="1:65" s="6" customFormat="1" x14ac:dyDescent="0.25">
      <c r="B16" s="9" t="s">
        <v>317</v>
      </c>
      <c r="L16" s="40"/>
      <c r="M16" s="9" t="s">
        <v>318</v>
      </c>
      <c r="AA16" s="40"/>
      <c r="AB16" s="9" t="s">
        <v>188</v>
      </c>
      <c r="AC16" s="9"/>
      <c r="AD16" s="9"/>
      <c r="AE16" s="9"/>
      <c r="AF16" s="9"/>
      <c r="AG16" s="9"/>
      <c r="AH16" s="9"/>
      <c r="AI16" s="9"/>
      <c r="AJ16" s="28"/>
      <c r="AN16" s="9"/>
      <c r="AP16" s="40"/>
      <c r="AQ16" s="28" t="s">
        <v>319</v>
      </c>
      <c r="AR16" s="9"/>
      <c r="AS16" s="9"/>
      <c r="AT16" s="9"/>
      <c r="AU16" s="9"/>
      <c r="AV16" s="37"/>
      <c r="AY16" s="9"/>
      <c r="BB16" s="40"/>
      <c r="BC16" s="9"/>
      <c r="BD16" s="9"/>
      <c r="BE16" s="9"/>
      <c r="BF16" s="9"/>
      <c r="BG16" s="9"/>
      <c r="BH16" s="28"/>
      <c r="BI16" s="9"/>
      <c r="BJ16" s="9"/>
    </row>
    <row r="17" spans="1:65" s="1" customFormat="1" ht="75" x14ac:dyDescent="0.25">
      <c r="A17" s="5" t="s">
        <v>190</v>
      </c>
      <c r="B17" s="23" t="s">
        <v>263</v>
      </c>
      <c r="C17" s="23" t="s">
        <v>264</v>
      </c>
      <c r="D17" s="23" t="s">
        <v>265</v>
      </c>
      <c r="E17" s="23"/>
      <c r="F17" s="25" t="s">
        <v>320</v>
      </c>
      <c r="G17" s="23"/>
      <c r="H17" s="23" t="s">
        <v>101</v>
      </c>
      <c r="I17" s="25" t="s">
        <v>321</v>
      </c>
      <c r="J17" s="27" t="s">
        <v>190</v>
      </c>
      <c r="K17" s="27" t="s">
        <v>192</v>
      </c>
      <c r="L17" s="40"/>
      <c r="M17" s="23" t="s">
        <v>263</v>
      </c>
      <c r="N17" s="23" t="s">
        <v>264</v>
      </c>
      <c r="O17" s="23" t="s">
        <v>265</v>
      </c>
      <c r="P17" s="23"/>
      <c r="Q17" s="25" t="s">
        <v>320</v>
      </c>
      <c r="R17" s="23"/>
      <c r="S17" s="23" t="s">
        <v>101</v>
      </c>
      <c r="T17" s="25" t="s">
        <v>321</v>
      </c>
      <c r="U17" s="23" t="s">
        <v>145</v>
      </c>
      <c r="V17" s="23"/>
      <c r="W17" s="2" t="s">
        <v>139</v>
      </c>
      <c r="X17" s="7" t="s">
        <v>190</v>
      </c>
      <c r="Y17" s="7" t="s">
        <v>190</v>
      </c>
      <c r="Z17" s="7" t="s">
        <v>192</v>
      </c>
      <c r="AA17" s="40"/>
      <c r="AB17" s="23" t="s">
        <v>263</v>
      </c>
      <c r="AC17" s="23" t="s">
        <v>264</v>
      </c>
      <c r="AD17" s="23" t="s">
        <v>265</v>
      </c>
      <c r="AE17" s="23"/>
      <c r="AF17" s="25" t="s">
        <v>320</v>
      </c>
      <c r="AG17" s="23"/>
      <c r="AH17" s="23" t="s">
        <v>101</v>
      </c>
      <c r="AI17" s="25" t="s">
        <v>321</v>
      </c>
      <c r="AJ17" s="4" t="str">
        <f t="shared" si="0"/>
        <v xml:space="preserve">KENANGA NOMINEES (ASING) SDN BHD DUAN XINGCONG </v>
      </c>
      <c r="AK17" s="2" t="s">
        <v>145</v>
      </c>
      <c r="AL17" s="2" t="s">
        <v>139</v>
      </c>
      <c r="AM17" s="7" t="s">
        <v>190</v>
      </c>
      <c r="AN17" s="7" t="s">
        <v>190</v>
      </c>
      <c r="AO17" s="7" t="s">
        <v>192</v>
      </c>
      <c r="AP17" s="40"/>
      <c r="AQ17" s="23" t="s">
        <v>263</v>
      </c>
      <c r="AR17" s="4" t="s">
        <v>268</v>
      </c>
      <c r="AS17" s="2"/>
      <c r="AT17" s="2" t="s">
        <v>269</v>
      </c>
      <c r="AU17" s="2" t="s">
        <v>145</v>
      </c>
      <c r="AV17" s="23" t="str">
        <f t="shared" si="1"/>
        <v>KE2108262KENANGA NOMINEES (ASING) SDN BHD DUAN XINGCONG ACTIVEA</v>
      </c>
      <c r="AW17" s="2" t="s">
        <v>139</v>
      </c>
      <c r="AX17" s="2" t="s">
        <v>139</v>
      </c>
      <c r="AY17" s="7" t="s">
        <v>190</v>
      </c>
      <c r="AZ17" s="7" t="s">
        <v>192</v>
      </c>
      <c r="BA17" s="23" t="s">
        <v>322</v>
      </c>
      <c r="BB17" s="40"/>
      <c r="BC17" s="2" t="s">
        <v>307</v>
      </c>
      <c r="BD17" s="2" t="s">
        <v>311</v>
      </c>
      <c r="BE17" s="2"/>
      <c r="BF17" s="2" t="s">
        <v>269</v>
      </c>
      <c r="BG17" s="2" t="s">
        <v>145</v>
      </c>
      <c r="BH17" s="2" t="s">
        <v>323</v>
      </c>
      <c r="BI17" s="2" t="s">
        <v>139</v>
      </c>
      <c r="BJ17" s="2" t="s">
        <v>139</v>
      </c>
      <c r="BK17" s="7" t="s">
        <v>190</v>
      </c>
      <c r="BL17" s="7" t="s">
        <v>192</v>
      </c>
      <c r="BM17" s="7" t="s">
        <v>193</v>
      </c>
    </row>
    <row r="18" spans="1:65" ht="90" x14ac:dyDescent="0.25">
      <c r="B18" s="2" t="s">
        <v>287</v>
      </c>
      <c r="C18" s="2" t="s">
        <v>288</v>
      </c>
      <c r="F18" s="2" t="s">
        <v>289</v>
      </c>
      <c r="H18" s="2" t="s">
        <v>101</v>
      </c>
      <c r="I18" s="7" t="s">
        <v>324</v>
      </c>
      <c r="J18" s="27" t="s">
        <v>190</v>
      </c>
      <c r="K18" s="27" t="s">
        <v>192</v>
      </c>
      <c r="M18" s="23" t="s">
        <v>270</v>
      </c>
      <c r="N18" s="23" t="s">
        <v>271</v>
      </c>
      <c r="O18" s="23" t="s">
        <v>272</v>
      </c>
      <c r="P18" s="23" t="s">
        <v>273</v>
      </c>
      <c r="Q18" s="23" t="s">
        <v>274</v>
      </c>
      <c r="R18" s="23"/>
      <c r="S18" s="23" t="s">
        <v>101</v>
      </c>
      <c r="T18" s="23" t="s">
        <v>321</v>
      </c>
      <c r="U18" s="23" t="s">
        <v>145</v>
      </c>
      <c r="V18" s="23"/>
      <c r="W18" s="2" t="s">
        <v>139</v>
      </c>
      <c r="X18" s="2" t="s">
        <v>139</v>
      </c>
      <c r="Y18" s="7" t="s">
        <v>190</v>
      </c>
      <c r="Z18" s="7" t="s">
        <v>192</v>
      </c>
      <c r="AB18" s="23" t="s">
        <v>270</v>
      </c>
      <c r="AC18" s="23" t="s">
        <v>271</v>
      </c>
      <c r="AD18" s="23" t="s">
        <v>272</v>
      </c>
      <c r="AE18" s="23" t="s">
        <v>273</v>
      </c>
      <c r="AF18" s="23" t="s">
        <v>274</v>
      </c>
      <c r="AG18" s="23"/>
      <c r="AH18" s="23" t="s">
        <v>101</v>
      </c>
      <c r="AI18" s="23" t="s">
        <v>321</v>
      </c>
      <c r="AJ18" s="4" t="str">
        <f t="shared" si="0"/>
        <v>KENANGA NOMINEES (TEMPATAN) SDN BHD PLEDGED SECURITIES ACCOUNT FOR SREETHARARAJ A/L NADARAJAH</v>
      </c>
      <c r="AK18" s="2" t="s">
        <v>145</v>
      </c>
      <c r="AL18" s="2" t="s">
        <v>139</v>
      </c>
      <c r="AM18" s="2" t="s">
        <v>139</v>
      </c>
      <c r="AN18" s="7" t="s">
        <v>190</v>
      </c>
      <c r="AO18" s="7" t="s">
        <v>192</v>
      </c>
      <c r="AQ18" s="23" t="s">
        <v>270</v>
      </c>
      <c r="AR18" s="4" t="s">
        <v>275</v>
      </c>
      <c r="AT18" s="2" t="s">
        <v>269</v>
      </c>
      <c r="AU18" s="2" t="s">
        <v>145</v>
      </c>
      <c r="AV18" s="23" t="str">
        <f t="shared" si="1"/>
        <v>MGR005919KENANGA NOMINEES (TEMPATAN) SDN BHD PLEDGED SECURITIES ACCOUNT FOR SREETHARARAJ A/L NADARAJAHACTIVEA</v>
      </c>
      <c r="AW18" s="2" t="s">
        <v>139</v>
      </c>
      <c r="AX18" s="2" t="s">
        <v>139</v>
      </c>
      <c r="AY18" s="7" t="s">
        <v>190</v>
      </c>
      <c r="AZ18" s="7" t="s">
        <v>192</v>
      </c>
      <c r="BC18" s="2" t="s">
        <v>312</v>
      </c>
      <c r="BD18" s="2" t="s">
        <v>316</v>
      </c>
      <c r="BF18" s="2" t="s">
        <v>269</v>
      </c>
      <c r="BG18" s="2" t="s">
        <v>145</v>
      </c>
      <c r="BH18" s="2" t="s">
        <v>325</v>
      </c>
      <c r="BI18" s="2" t="s">
        <v>139</v>
      </c>
      <c r="BJ18" s="2" t="s">
        <v>139</v>
      </c>
      <c r="BK18" s="7" t="s">
        <v>190</v>
      </c>
      <c r="BL18" s="7" t="s">
        <v>192</v>
      </c>
      <c r="BM18" s="7" t="s">
        <v>193</v>
      </c>
    </row>
    <row r="19" spans="1:65" ht="45" x14ac:dyDescent="0.25">
      <c r="B19" s="2" t="s">
        <v>307</v>
      </c>
      <c r="C19" s="2" t="s">
        <v>308</v>
      </c>
      <c r="F19" s="2" t="s">
        <v>309</v>
      </c>
      <c r="H19" s="7" t="s">
        <v>326</v>
      </c>
      <c r="I19" s="2" t="s">
        <v>310</v>
      </c>
      <c r="J19" s="27" t="s">
        <v>190</v>
      </c>
      <c r="K19" s="27" t="s">
        <v>192</v>
      </c>
      <c r="M19" s="23" t="s">
        <v>276</v>
      </c>
      <c r="N19" s="23" t="s">
        <v>277</v>
      </c>
      <c r="O19" s="23"/>
      <c r="P19" s="23"/>
      <c r="Q19" s="23" t="s">
        <v>278</v>
      </c>
      <c r="R19" s="23"/>
      <c r="S19" s="23" t="s">
        <v>101</v>
      </c>
      <c r="T19" s="23" t="s">
        <v>279</v>
      </c>
      <c r="U19" s="23" t="s">
        <v>145</v>
      </c>
      <c r="V19" s="23"/>
      <c r="W19" s="2" t="s">
        <v>139</v>
      </c>
      <c r="X19" s="2" t="s">
        <v>139</v>
      </c>
      <c r="Y19" s="7" t="s">
        <v>190</v>
      </c>
      <c r="Z19" s="7" t="s">
        <v>192</v>
      </c>
      <c r="AB19" s="23" t="s">
        <v>276</v>
      </c>
      <c r="AC19" s="23" t="s">
        <v>277</v>
      </c>
      <c r="AD19" s="23"/>
      <c r="AE19" s="23"/>
      <c r="AF19" s="23" t="s">
        <v>278</v>
      </c>
      <c r="AG19" s="23"/>
      <c r="AH19" s="23" t="s">
        <v>101</v>
      </c>
      <c r="AI19" s="23" t="s">
        <v>279</v>
      </c>
      <c r="AJ19" s="4" t="str">
        <f t="shared" si="0"/>
        <v xml:space="preserve">FONG HIANG LAENG MAXWELL  </v>
      </c>
      <c r="AK19" s="2" t="s">
        <v>145</v>
      </c>
      <c r="AL19" s="2" t="s">
        <v>139</v>
      </c>
      <c r="AM19" s="2" t="s">
        <v>139</v>
      </c>
      <c r="AN19" s="7" t="s">
        <v>190</v>
      </c>
      <c r="AO19" s="7" t="s">
        <v>192</v>
      </c>
      <c r="AQ19" s="23" t="s">
        <v>276</v>
      </c>
      <c r="AR19" s="4" t="s">
        <v>280</v>
      </c>
      <c r="AT19" s="2" t="s">
        <v>269</v>
      </c>
      <c r="AU19" s="2" t="s">
        <v>145</v>
      </c>
      <c r="AV19" s="23" t="str">
        <f t="shared" si="1"/>
        <v>FO2021090FONG HIANG LAENG MAXWELL  ACTIVEA</v>
      </c>
      <c r="AW19" s="2" t="s">
        <v>139</v>
      </c>
      <c r="AX19" s="2" t="s">
        <v>139</v>
      </c>
      <c r="AY19" s="7" t="s">
        <v>190</v>
      </c>
      <c r="AZ19" s="7" t="s">
        <v>192</v>
      </c>
    </row>
    <row r="20" spans="1:65" ht="105" x14ac:dyDescent="0.25">
      <c r="B20" s="2" t="s">
        <v>312</v>
      </c>
      <c r="C20" s="25" t="s">
        <v>327</v>
      </c>
      <c r="F20" s="2" t="s">
        <v>314</v>
      </c>
      <c r="H20" s="2" t="s">
        <v>101</v>
      </c>
      <c r="I20" s="7" t="s">
        <v>328</v>
      </c>
      <c r="J20" s="27" t="s">
        <v>190</v>
      </c>
      <c r="K20" s="27" t="s">
        <v>192</v>
      </c>
      <c r="M20" s="23" t="s">
        <v>281</v>
      </c>
      <c r="N20" s="23" t="s">
        <v>282</v>
      </c>
      <c r="O20" s="23" t="s">
        <v>283</v>
      </c>
      <c r="P20" s="23"/>
      <c r="Q20" s="23" t="s">
        <v>284</v>
      </c>
      <c r="R20" s="23"/>
      <c r="S20" s="23" t="s">
        <v>101</v>
      </c>
      <c r="T20" s="23" t="s">
        <v>285</v>
      </c>
      <c r="U20" s="23" t="s">
        <v>145</v>
      </c>
      <c r="V20" s="23"/>
      <c r="W20" s="2" t="s">
        <v>139</v>
      </c>
      <c r="X20" s="2" t="s">
        <v>139</v>
      </c>
      <c r="Y20" s="7" t="s">
        <v>190</v>
      </c>
      <c r="Z20" s="7" t="s">
        <v>192</v>
      </c>
      <c r="AB20" s="23" t="s">
        <v>281</v>
      </c>
      <c r="AC20" s="23" t="s">
        <v>282</v>
      </c>
      <c r="AD20" s="23" t="s">
        <v>283</v>
      </c>
      <c r="AE20" s="23"/>
      <c r="AF20" s="23" t="s">
        <v>284</v>
      </c>
      <c r="AG20" s="23"/>
      <c r="AH20" s="23" t="s">
        <v>101</v>
      </c>
      <c r="AI20" s="23" t="s">
        <v>285</v>
      </c>
      <c r="AJ20" s="4" t="str">
        <f t="shared" si="0"/>
        <v xml:space="preserve">GREAT EASTERN LIFE ASSURANCE (MALAYSIA) BERHAD FOR GREAT EASTERN LIFE ASSURANCE (MALAYSIA) BERHAD (SHF T2) </v>
      </c>
      <c r="AK20" s="2" t="s">
        <v>145</v>
      </c>
      <c r="AL20" s="2" t="s">
        <v>139</v>
      </c>
      <c r="AM20" s="2" t="s">
        <v>139</v>
      </c>
      <c r="AN20" s="7" t="s">
        <v>190</v>
      </c>
      <c r="AO20" s="7" t="s">
        <v>192</v>
      </c>
      <c r="AQ20" s="23" t="s">
        <v>281</v>
      </c>
      <c r="AR20" s="4" t="s">
        <v>286</v>
      </c>
      <c r="AT20" s="2" t="s">
        <v>269</v>
      </c>
      <c r="AU20" s="2" t="s">
        <v>145</v>
      </c>
      <c r="AV20" s="23" t="str">
        <f t="shared" si="1"/>
        <v>GR2132910GREAT EASTERN LIFE ASSURANCE (MALAYSIA) BERHAD FOR GREAT EASTERN LIFE ASSURANCE (MALAYSIA) BERHAD (SHF T2) ACTIVEA</v>
      </c>
      <c r="AW20" s="2" t="s">
        <v>139</v>
      </c>
      <c r="AX20" s="2" t="s">
        <v>139</v>
      </c>
      <c r="AY20" s="7" t="s">
        <v>190</v>
      </c>
      <c r="AZ20" s="7" t="s">
        <v>192</v>
      </c>
    </row>
    <row r="21" spans="1:65" ht="75" x14ac:dyDescent="0.25">
      <c r="B21" s="7" t="s">
        <v>329</v>
      </c>
      <c r="C21" s="25" t="s">
        <v>330</v>
      </c>
      <c r="D21" s="7"/>
      <c r="E21" s="7"/>
      <c r="F21" s="7" t="s">
        <v>331</v>
      </c>
      <c r="G21" s="7"/>
      <c r="H21" s="7" t="s">
        <v>101</v>
      </c>
      <c r="I21" s="7" t="s">
        <v>332</v>
      </c>
      <c r="J21" s="27" t="s">
        <v>190</v>
      </c>
      <c r="K21" s="27" t="s">
        <v>192</v>
      </c>
      <c r="M21" s="2" t="s">
        <v>287</v>
      </c>
      <c r="N21" s="2" t="s">
        <v>288</v>
      </c>
      <c r="Q21" s="2" t="s">
        <v>289</v>
      </c>
      <c r="S21" s="2" t="s">
        <v>101</v>
      </c>
      <c r="T21" s="7" t="s">
        <v>324</v>
      </c>
      <c r="U21" s="23" t="s">
        <v>145</v>
      </c>
      <c r="V21" s="23"/>
      <c r="W21" s="2" t="s">
        <v>139</v>
      </c>
      <c r="X21" s="7" t="s">
        <v>190</v>
      </c>
      <c r="Y21" s="7" t="s">
        <v>190</v>
      </c>
      <c r="Z21" s="7" t="s">
        <v>192</v>
      </c>
      <c r="AB21" s="2" t="s">
        <v>287</v>
      </c>
      <c r="AC21" s="2" t="s">
        <v>288</v>
      </c>
      <c r="AF21" s="2" t="s">
        <v>289</v>
      </c>
      <c r="AH21" s="2" t="s">
        <v>101</v>
      </c>
      <c r="AI21" s="7" t="s">
        <v>324</v>
      </c>
      <c r="AJ21" s="4" t="str">
        <f t="shared" si="0"/>
        <v xml:space="preserve">MOK KIN SOON  </v>
      </c>
      <c r="AK21" s="2" t="s">
        <v>145</v>
      </c>
      <c r="AL21" s="2" t="s">
        <v>139</v>
      </c>
      <c r="AM21" s="2" t="s">
        <v>139</v>
      </c>
      <c r="AN21" s="7" t="s">
        <v>190</v>
      </c>
      <c r="AO21" s="7" t="s">
        <v>192</v>
      </c>
      <c r="AQ21" s="2" t="s">
        <v>287</v>
      </c>
      <c r="AR21" s="4" t="s">
        <v>291</v>
      </c>
      <c r="AT21" s="2" t="s">
        <v>269</v>
      </c>
      <c r="AU21" s="2" t="s">
        <v>145</v>
      </c>
      <c r="AV21" s="23" t="str">
        <f t="shared" si="1"/>
        <v>MO0326710MOK KIN SOON  ACTIVEA</v>
      </c>
      <c r="AW21" s="2" t="s">
        <v>139</v>
      </c>
      <c r="AX21" s="2" t="s">
        <v>139</v>
      </c>
      <c r="AY21" s="7" t="s">
        <v>190</v>
      </c>
      <c r="AZ21" s="7" t="s">
        <v>192</v>
      </c>
      <c r="BA21" s="23" t="s">
        <v>322</v>
      </c>
    </row>
    <row r="22" spans="1:65" ht="30" x14ac:dyDescent="0.25">
      <c r="M22" s="23" t="s">
        <v>292</v>
      </c>
      <c r="N22" s="23" t="s">
        <v>293</v>
      </c>
      <c r="O22" s="23"/>
      <c r="P22" s="23"/>
      <c r="Q22" s="23" t="s">
        <v>294</v>
      </c>
      <c r="R22" s="23"/>
      <c r="S22" s="23" t="s">
        <v>101</v>
      </c>
      <c r="T22" s="23" t="s">
        <v>295</v>
      </c>
      <c r="U22" s="23" t="s">
        <v>145</v>
      </c>
      <c r="V22" s="23"/>
      <c r="W22" s="2" t="s">
        <v>139</v>
      </c>
      <c r="X22" s="2" t="s">
        <v>139</v>
      </c>
      <c r="Y22" s="7" t="s">
        <v>190</v>
      </c>
      <c r="Z22" s="7" t="s">
        <v>192</v>
      </c>
      <c r="AB22" s="23" t="s">
        <v>292</v>
      </c>
      <c r="AC22" s="23" t="s">
        <v>293</v>
      </c>
      <c r="AD22" s="23"/>
      <c r="AE22" s="23"/>
      <c r="AF22" s="23" t="s">
        <v>294</v>
      </c>
      <c r="AG22" s="23"/>
      <c r="AH22" s="23" t="s">
        <v>101</v>
      </c>
      <c r="AI22" s="23" t="s">
        <v>295</v>
      </c>
      <c r="AJ22" s="4" t="str">
        <f t="shared" si="0"/>
        <v xml:space="preserve">NG WENG CHUAH  </v>
      </c>
      <c r="AK22" s="2" t="s">
        <v>145</v>
      </c>
      <c r="AL22" s="2" t="s">
        <v>139</v>
      </c>
      <c r="AM22" s="2" t="s">
        <v>139</v>
      </c>
      <c r="AN22" s="7" t="s">
        <v>190</v>
      </c>
      <c r="AO22" s="7" t="s">
        <v>192</v>
      </c>
      <c r="AQ22" s="23" t="s">
        <v>292</v>
      </c>
      <c r="AR22" s="4" t="s">
        <v>296</v>
      </c>
      <c r="AT22" s="2" t="s">
        <v>269</v>
      </c>
      <c r="AU22" s="2" t="s">
        <v>145</v>
      </c>
      <c r="AV22" s="23" t="str">
        <f t="shared" si="1"/>
        <v>NG0327522NG WENG CHUAH  ACTIVEA</v>
      </c>
      <c r="AW22" s="2" t="s">
        <v>139</v>
      </c>
      <c r="AX22" s="2" t="s">
        <v>139</v>
      </c>
      <c r="AY22" s="7" t="s">
        <v>190</v>
      </c>
      <c r="AZ22" s="7" t="s">
        <v>192</v>
      </c>
    </row>
    <row r="23" spans="1:65" ht="30" x14ac:dyDescent="0.25">
      <c r="M23" s="23" t="s">
        <v>297</v>
      </c>
      <c r="N23" s="23" t="s">
        <v>298</v>
      </c>
      <c r="O23" s="23"/>
      <c r="P23" s="23"/>
      <c r="Q23" s="23" t="s">
        <v>299</v>
      </c>
      <c r="R23" s="23"/>
      <c r="S23" s="23" t="s">
        <v>101</v>
      </c>
      <c r="T23" s="23" t="s">
        <v>300</v>
      </c>
      <c r="U23" s="23" t="s">
        <v>145</v>
      </c>
      <c r="V23" s="23"/>
      <c r="W23" s="2" t="s">
        <v>139</v>
      </c>
      <c r="X23" s="2" t="s">
        <v>139</v>
      </c>
      <c r="Y23" s="7" t="s">
        <v>190</v>
      </c>
      <c r="Z23" s="7" t="s">
        <v>192</v>
      </c>
      <c r="AB23" s="23" t="s">
        <v>297</v>
      </c>
      <c r="AC23" s="23" t="s">
        <v>298</v>
      </c>
      <c r="AD23" s="23"/>
      <c r="AE23" s="23"/>
      <c r="AF23" s="23" t="s">
        <v>299</v>
      </c>
      <c r="AG23" s="23"/>
      <c r="AH23" s="23" t="s">
        <v>101</v>
      </c>
      <c r="AI23" s="23" t="s">
        <v>300</v>
      </c>
      <c r="AJ23" s="4" t="str">
        <f t="shared" si="0"/>
        <v xml:space="preserve">WONG SIONG SEH  </v>
      </c>
      <c r="AK23" s="2" t="s">
        <v>145</v>
      </c>
      <c r="AL23" s="2" t="s">
        <v>139</v>
      </c>
      <c r="AM23" s="2" t="s">
        <v>139</v>
      </c>
      <c r="AN23" s="7" t="s">
        <v>190</v>
      </c>
      <c r="AO23" s="7" t="s">
        <v>192</v>
      </c>
      <c r="AQ23" s="23" t="s">
        <v>297</v>
      </c>
      <c r="AR23" s="4" t="s">
        <v>301</v>
      </c>
      <c r="AT23" s="2" t="s">
        <v>269</v>
      </c>
      <c r="AU23" s="2" t="s">
        <v>145</v>
      </c>
      <c r="AV23" s="23" t="str">
        <f t="shared" si="1"/>
        <v>WO0193856WONG SIONG SEH  ACTIVEA</v>
      </c>
      <c r="AW23" s="2" t="s">
        <v>139</v>
      </c>
      <c r="AX23" s="2" t="s">
        <v>139</v>
      </c>
      <c r="AY23" s="7" t="s">
        <v>190</v>
      </c>
      <c r="AZ23" s="7" t="s">
        <v>192</v>
      </c>
    </row>
    <row r="24" spans="1:65" ht="30" x14ac:dyDescent="0.25">
      <c r="M24" s="23" t="s">
        <v>302</v>
      </c>
      <c r="N24" s="23" t="s">
        <v>303</v>
      </c>
      <c r="O24" s="23"/>
      <c r="P24" s="23"/>
      <c r="Q24" s="23" t="s">
        <v>304</v>
      </c>
      <c r="R24" s="23"/>
      <c r="S24" s="23" t="s">
        <v>101</v>
      </c>
      <c r="T24" s="23" t="s">
        <v>305</v>
      </c>
      <c r="U24" s="23" t="s">
        <v>145</v>
      </c>
      <c r="V24" s="23"/>
      <c r="W24" s="2" t="s">
        <v>139</v>
      </c>
      <c r="X24" s="2" t="s">
        <v>139</v>
      </c>
      <c r="Y24" s="7" t="s">
        <v>190</v>
      </c>
      <c r="Z24" s="7" t="s">
        <v>192</v>
      </c>
      <c r="AB24" s="23" t="s">
        <v>302</v>
      </c>
      <c r="AC24" s="23" t="s">
        <v>303</v>
      </c>
      <c r="AD24" s="23"/>
      <c r="AE24" s="23"/>
      <c r="AF24" s="23" t="s">
        <v>304</v>
      </c>
      <c r="AG24" s="23"/>
      <c r="AH24" s="23" t="s">
        <v>101</v>
      </c>
      <c r="AI24" s="23" t="s">
        <v>305</v>
      </c>
      <c r="AJ24" s="4" t="str">
        <f t="shared" si="0"/>
        <v xml:space="preserve">CHONG HOY KHEE  </v>
      </c>
      <c r="AK24" s="2" t="s">
        <v>145</v>
      </c>
      <c r="AL24" s="2" t="s">
        <v>139</v>
      </c>
      <c r="AM24" s="2" t="s">
        <v>139</v>
      </c>
      <c r="AN24" s="7" t="s">
        <v>190</v>
      </c>
      <c r="AO24" s="7" t="s">
        <v>192</v>
      </c>
      <c r="AQ24" s="23" t="s">
        <v>302</v>
      </c>
      <c r="AR24" s="4" t="s">
        <v>306</v>
      </c>
      <c r="AT24" s="2" t="s">
        <v>269</v>
      </c>
      <c r="AU24" s="2" t="s">
        <v>145</v>
      </c>
      <c r="AV24" s="23" t="str">
        <f t="shared" si="1"/>
        <v>CH0297285CHONG HOY KHEE  ACTIVEA</v>
      </c>
      <c r="AW24" s="2" t="s">
        <v>139</v>
      </c>
      <c r="AX24" s="2" t="s">
        <v>139</v>
      </c>
      <c r="AY24" s="7" t="s">
        <v>190</v>
      </c>
      <c r="AZ24" s="7" t="s">
        <v>192</v>
      </c>
    </row>
    <row r="25" spans="1:65" ht="30" x14ac:dyDescent="0.25">
      <c r="M25" s="2" t="s">
        <v>307</v>
      </c>
      <c r="N25" s="2" t="s">
        <v>308</v>
      </c>
      <c r="Q25" s="2" t="s">
        <v>309</v>
      </c>
      <c r="S25" s="7" t="s">
        <v>326</v>
      </c>
      <c r="T25" s="2" t="s">
        <v>310</v>
      </c>
      <c r="U25" s="23" t="s">
        <v>145</v>
      </c>
      <c r="V25" s="23"/>
      <c r="W25" s="2" t="s">
        <v>139</v>
      </c>
      <c r="X25" s="7" t="s">
        <v>190</v>
      </c>
      <c r="Y25" s="7" t="s">
        <v>190</v>
      </c>
      <c r="Z25" s="7" t="s">
        <v>192</v>
      </c>
      <c r="AB25" s="2" t="s">
        <v>307</v>
      </c>
      <c r="AC25" s="2" t="s">
        <v>308</v>
      </c>
      <c r="AF25" s="2" t="s">
        <v>309</v>
      </c>
      <c r="AH25" s="7" t="s">
        <v>326</v>
      </c>
      <c r="AI25" s="2" t="s">
        <v>310</v>
      </c>
      <c r="AJ25" s="4" t="str">
        <f t="shared" si="0"/>
        <v xml:space="preserve">LIM EE LEONG  </v>
      </c>
      <c r="AK25" s="2" t="s">
        <v>145</v>
      </c>
      <c r="AL25" s="2" t="s">
        <v>139</v>
      </c>
      <c r="AM25" s="2" t="s">
        <v>139</v>
      </c>
      <c r="AN25" s="7" t="s">
        <v>190</v>
      </c>
      <c r="AO25" s="7" t="s">
        <v>192</v>
      </c>
      <c r="AQ25" s="2" t="s">
        <v>307</v>
      </c>
      <c r="AR25" s="4" t="s">
        <v>311</v>
      </c>
      <c r="AT25" s="7" t="s">
        <v>333</v>
      </c>
      <c r="AU25" s="2" t="s">
        <v>145</v>
      </c>
      <c r="AV25" s="23" t="str">
        <f t="shared" si="1"/>
        <v>LI0373025LIM EE LEONG  PROHIBITEDA</v>
      </c>
      <c r="AW25" s="2" t="s">
        <v>139</v>
      </c>
      <c r="AX25" s="2" t="s">
        <v>139</v>
      </c>
      <c r="AY25" s="7" t="s">
        <v>190</v>
      </c>
      <c r="AZ25" s="7" t="s">
        <v>192</v>
      </c>
    </row>
    <row r="26" spans="1:65" ht="45" x14ac:dyDescent="0.25">
      <c r="M26" s="2" t="s">
        <v>312</v>
      </c>
      <c r="N26" s="25" t="s">
        <v>327</v>
      </c>
      <c r="Q26" s="2" t="s">
        <v>314</v>
      </c>
      <c r="S26" s="2" t="s">
        <v>101</v>
      </c>
      <c r="T26" s="7" t="s">
        <v>328</v>
      </c>
      <c r="U26" s="23" t="s">
        <v>145</v>
      </c>
      <c r="V26" s="23"/>
      <c r="W26" s="2" t="s">
        <v>139</v>
      </c>
      <c r="X26" s="7" t="s">
        <v>190</v>
      </c>
      <c r="Y26" s="7" t="s">
        <v>190</v>
      </c>
      <c r="Z26" s="7" t="s">
        <v>192</v>
      </c>
      <c r="AB26" s="2" t="s">
        <v>312</v>
      </c>
      <c r="AC26" s="25" t="s">
        <v>327</v>
      </c>
      <c r="AF26" s="2" t="s">
        <v>314</v>
      </c>
      <c r="AH26" s="2" t="s">
        <v>101</v>
      </c>
      <c r="AI26" s="7" t="s">
        <v>328</v>
      </c>
      <c r="AJ26" s="42" t="str">
        <f t="shared" si="0"/>
        <v xml:space="preserve">KEENYAP PROPERTIES SDN. BHD.  </v>
      </c>
      <c r="AK26" s="2" t="s">
        <v>145</v>
      </c>
      <c r="AL26" s="2" t="s">
        <v>139</v>
      </c>
      <c r="AM26" s="7" t="s">
        <v>190</v>
      </c>
      <c r="AN26" s="7" t="s">
        <v>190</v>
      </c>
      <c r="AO26" s="7" t="s">
        <v>192</v>
      </c>
      <c r="AQ26" s="2" t="s">
        <v>312</v>
      </c>
      <c r="AR26" s="42" t="s">
        <v>334</v>
      </c>
      <c r="AS26" s="7"/>
      <c r="AT26" s="7" t="s">
        <v>269</v>
      </c>
      <c r="AU26" s="2" t="s">
        <v>145</v>
      </c>
      <c r="AV26" s="23" t="str">
        <f t="shared" si="1"/>
        <v>KE0399683KEENYAP PROPERTIES SDN. BHD.  ACTIVEA</v>
      </c>
      <c r="AW26" s="2" t="s">
        <v>139</v>
      </c>
      <c r="AX26" s="7" t="s">
        <v>190</v>
      </c>
      <c r="AY26" s="7" t="s">
        <v>190</v>
      </c>
      <c r="AZ26" s="7" t="s">
        <v>192</v>
      </c>
    </row>
    <row r="27" spans="1:65" ht="30" x14ac:dyDescent="0.25">
      <c r="M27" s="7" t="s">
        <v>329</v>
      </c>
      <c r="N27" s="25" t="s">
        <v>330</v>
      </c>
      <c r="O27" s="7"/>
      <c r="P27" s="7"/>
      <c r="Q27" s="7" t="s">
        <v>331</v>
      </c>
      <c r="R27" s="7"/>
      <c r="S27" s="7" t="s">
        <v>101</v>
      </c>
      <c r="T27" s="7" t="s">
        <v>332</v>
      </c>
      <c r="U27" s="7" t="s">
        <v>145</v>
      </c>
      <c r="V27" s="7"/>
      <c r="W27" s="7" t="s">
        <v>190</v>
      </c>
      <c r="X27" s="7" t="s">
        <v>190</v>
      </c>
      <c r="Y27" s="7" t="s">
        <v>190</v>
      </c>
      <c r="Z27" s="7" t="s">
        <v>192</v>
      </c>
      <c r="AB27" s="7" t="s">
        <v>329</v>
      </c>
      <c r="AC27" s="25" t="s">
        <v>330</v>
      </c>
      <c r="AD27" s="7"/>
      <c r="AE27" s="7"/>
      <c r="AF27" s="7" t="s">
        <v>331</v>
      </c>
      <c r="AG27" s="7"/>
      <c r="AH27" s="7" t="s">
        <v>101</v>
      </c>
      <c r="AI27" s="7" t="s">
        <v>332</v>
      </c>
      <c r="AJ27" s="4" t="str">
        <f t="shared" si="0"/>
        <v xml:space="preserve">LIM SOOT LAN  DORIS  </v>
      </c>
      <c r="AK27" s="2" t="s">
        <v>145</v>
      </c>
      <c r="AL27" s="7" t="s">
        <v>190</v>
      </c>
      <c r="AM27" s="7" t="s">
        <v>190</v>
      </c>
      <c r="AN27" s="7" t="s">
        <v>190</v>
      </c>
      <c r="AO27" s="7" t="s">
        <v>192</v>
      </c>
      <c r="AQ27" s="7" t="s">
        <v>329</v>
      </c>
      <c r="AR27" s="42" t="s">
        <v>335</v>
      </c>
      <c r="AS27" s="7"/>
      <c r="AT27" s="7" t="s">
        <v>269</v>
      </c>
      <c r="AU27" s="7" t="s">
        <v>145</v>
      </c>
      <c r="AV27" s="25" t="str">
        <f t="shared" si="1"/>
        <v>LI0323883LIM SOOT LAN  DORIS  ACTIVEA</v>
      </c>
      <c r="AW27" s="7" t="s">
        <v>190</v>
      </c>
      <c r="AX27" s="7" t="s">
        <v>190</v>
      </c>
      <c r="AY27" s="7" t="s">
        <v>190</v>
      </c>
      <c r="AZ27" s="7" t="s">
        <v>192</v>
      </c>
      <c r="BA27" s="7"/>
    </row>
  </sheetData>
  <mergeCells count="4">
    <mergeCell ref="Y4:Z4"/>
    <mergeCell ref="AN4:AO4"/>
    <mergeCell ref="AY4:AZ4"/>
    <mergeCell ref="BC4:BJ4"/>
  </mergeCells>
  <conditionalFormatting sqref="AV6:AV15 AV17:AV27">
    <cfRule type="uniqueValues" dxfId="1"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C89B7-5238-4852-8259-10D46B6BBCBF}">
  <dimension ref="A2:BN36"/>
  <sheetViews>
    <sheetView topLeftCell="AO1" zoomScale="80" zoomScaleNormal="80" workbookViewId="0">
      <pane ySplit="5" topLeftCell="A17" activePane="bottomLeft" state="frozen"/>
      <selection pane="bottomLeft" activeCell="BN17" sqref="BN17"/>
    </sheetView>
  </sheetViews>
  <sheetFormatPr defaultColWidth="8.85546875" defaultRowHeight="15" x14ac:dyDescent="0.25"/>
  <cols>
    <col min="1" max="1" width="17.28515625" style="2" customWidth="1"/>
    <col min="2" max="2" width="10.42578125" style="2" bestFit="1" customWidth="1"/>
    <col min="3" max="3" width="9.28515625" style="2" bestFit="1" customWidth="1"/>
    <col min="4" max="4" width="22.42578125" style="2" bestFit="1" customWidth="1"/>
    <col min="5" max="5" width="9" style="2" bestFit="1" customWidth="1"/>
    <col min="6" max="6" width="9.42578125" style="2" bestFit="1" customWidth="1"/>
    <col min="7" max="7" width="8.7109375" style="2" bestFit="1" customWidth="1"/>
    <col min="8" max="8" width="11.7109375" style="2" bestFit="1" customWidth="1"/>
    <col min="9" max="9" width="16" style="2" bestFit="1" customWidth="1"/>
    <col min="10" max="10" width="4" style="40" customWidth="1"/>
    <col min="11" max="11" width="14.85546875" style="2" customWidth="1"/>
    <col min="12" max="12" width="11.140625" style="2" bestFit="1" customWidth="1"/>
    <col min="13" max="13" width="22.42578125" style="2" bestFit="1" customWidth="1"/>
    <col min="14" max="14" width="9" style="2" bestFit="1" customWidth="1"/>
    <col min="15" max="15" width="9.42578125" style="2" bestFit="1" customWidth="1"/>
    <col min="16" max="16" width="8.7109375" style="2" bestFit="1" customWidth="1"/>
    <col min="17" max="17" width="14" style="2" bestFit="1" customWidth="1"/>
    <col min="18" max="18" width="13.7109375" style="10" bestFit="1" customWidth="1"/>
    <col min="19" max="19" width="19.42578125" style="2" customWidth="1"/>
    <col min="20" max="20" width="20.7109375" style="10" bestFit="1" customWidth="1"/>
    <col min="21" max="21" width="24.5703125" style="10" customWidth="1"/>
    <col min="22" max="22" width="10.42578125" style="10" customWidth="1"/>
    <col min="23" max="23" width="16" style="4" bestFit="1" customWidth="1"/>
    <col min="24" max="24" width="17.140625" style="2" customWidth="1"/>
    <col min="25" max="25" width="4" style="40" customWidth="1"/>
    <col min="26" max="26" width="10.42578125" style="2" bestFit="1" customWidth="1"/>
    <col min="27" max="27" width="9.28515625" style="2" bestFit="1" customWidth="1"/>
    <col min="28" max="28" width="22.42578125" style="2" bestFit="1" customWidth="1"/>
    <col min="29" max="29" width="9" style="2" bestFit="1" customWidth="1"/>
    <col min="30" max="30" width="9.42578125" style="2" bestFit="1" customWidth="1"/>
    <col min="31" max="31" width="8.7109375" style="2" bestFit="1" customWidth="1"/>
    <col min="32" max="32" width="14" style="2" bestFit="1" customWidth="1"/>
    <col min="33" max="33" width="13.7109375" style="2" bestFit="1" customWidth="1"/>
    <col min="34" max="35" width="20.85546875" style="2" customWidth="1"/>
    <col min="36" max="36" width="13.7109375" style="2" customWidth="1"/>
    <col min="37" max="37" width="16.28515625" style="2" customWidth="1"/>
    <col min="38" max="38" width="4" style="40" customWidth="1"/>
    <col min="39" max="39" width="10.7109375" style="2" bestFit="1" customWidth="1"/>
    <col min="40" max="40" width="9.28515625" style="2" bestFit="1" customWidth="1"/>
    <col min="41" max="41" width="22.42578125" style="2" bestFit="1" customWidth="1"/>
    <col min="42" max="42" width="8.28515625" style="2" bestFit="1" customWidth="1"/>
    <col min="43" max="43" width="9.42578125" style="2" bestFit="1" customWidth="1"/>
    <col min="44" max="44" width="8.5703125" style="2" bestFit="1" customWidth="1"/>
    <col min="45" max="45" width="14" style="2" bestFit="1" customWidth="1"/>
    <col min="46" max="46" width="18.85546875" style="10" customWidth="1"/>
    <col min="47" max="47" width="13.7109375" style="2" bestFit="1" customWidth="1"/>
    <col min="48" max="49" width="20.85546875" style="2" customWidth="1"/>
    <col min="50" max="50" width="13.7109375" style="2" customWidth="1"/>
    <col min="51" max="51" width="16.28515625" style="2" customWidth="1"/>
    <col min="52" max="52" width="4" style="40" customWidth="1"/>
    <col min="53" max="53" width="10.7109375" style="2" bestFit="1" customWidth="1"/>
    <col min="54" max="54" width="9.28515625" style="2" bestFit="1" customWidth="1"/>
    <col min="55" max="55" width="22.42578125" style="2" bestFit="1" customWidth="1"/>
    <col min="56" max="57" width="8.28515625" style="2" bestFit="1" customWidth="1"/>
    <col min="58" max="58" width="8.5703125" style="2" bestFit="1" customWidth="1"/>
    <col min="59" max="59" width="14" style="2" bestFit="1" customWidth="1"/>
    <col min="60" max="60" width="18.85546875" style="10" customWidth="1"/>
    <col min="61" max="61" width="5.42578125" style="2" bestFit="1" customWidth="1"/>
    <col min="62" max="62" width="20.28515625" style="2" bestFit="1" customWidth="1"/>
    <col min="63" max="63" width="21" style="2" bestFit="1" customWidth="1"/>
    <col min="64" max="64" width="10.5703125" style="2" bestFit="1" customWidth="1"/>
    <col min="65" max="65" width="18.42578125" style="2" customWidth="1"/>
    <col min="66" max="66" width="14.28515625" style="2" customWidth="1"/>
    <col min="67" max="16384" width="8.85546875" style="2"/>
  </cols>
  <sheetData>
    <row r="2" spans="1:66" s="3" customFormat="1" x14ac:dyDescent="0.25">
      <c r="A2" s="3" t="s">
        <v>336</v>
      </c>
      <c r="J2" s="39"/>
      <c r="R2" s="11"/>
      <c r="T2" s="11"/>
      <c r="U2" s="11"/>
      <c r="V2" s="11"/>
      <c r="W2" s="36"/>
      <c r="Y2" s="39"/>
      <c r="AL2" s="39"/>
      <c r="AT2" s="11"/>
      <c r="AZ2" s="39"/>
      <c r="BH2" s="11"/>
    </row>
    <row r="3" spans="1:66" s="1" customFormat="1" x14ac:dyDescent="0.25">
      <c r="B3" s="1" t="s">
        <v>57</v>
      </c>
      <c r="J3" s="39"/>
      <c r="K3" s="1" t="s">
        <v>58</v>
      </c>
      <c r="V3" s="12"/>
      <c r="W3" s="15"/>
      <c r="Y3" s="39"/>
      <c r="Z3" s="1" t="s">
        <v>35</v>
      </c>
      <c r="AJ3" s="12"/>
      <c r="AK3" s="12"/>
      <c r="AL3" s="39"/>
      <c r="AM3" s="1" t="s">
        <v>43</v>
      </c>
      <c r="AT3" s="12"/>
      <c r="AX3" s="12"/>
      <c r="AY3" s="12"/>
      <c r="AZ3" s="39"/>
      <c r="BA3" s="1" t="s">
        <v>116</v>
      </c>
      <c r="BH3" s="12"/>
    </row>
    <row r="4" spans="1:66" s="1" customFormat="1" ht="90" x14ac:dyDescent="0.25">
      <c r="H4" s="1" t="s">
        <v>118</v>
      </c>
      <c r="J4" s="39"/>
      <c r="K4" s="1" t="s">
        <v>119</v>
      </c>
      <c r="L4" s="1" t="s">
        <v>119</v>
      </c>
      <c r="M4" s="1" t="s">
        <v>119</v>
      </c>
      <c r="R4" s="12" t="s">
        <v>118</v>
      </c>
      <c r="S4" s="26" t="s">
        <v>248</v>
      </c>
      <c r="T4" s="26" t="s">
        <v>121</v>
      </c>
      <c r="U4" s="26" t="s">
        <v>122</v>
      </c>
      <c r="V4" s="97" t="s">
        <v>123</v>
      </c>
      <c r="W4" s="97"/>
      <c r="Y4" s="39"/>
      <c r="Z4" s="26" t="s">
        <v>119</v>
      </c>
      <c r="AA4" s="26" t="s">
        <v>119</v>
      </c>
      <c r="AB4" s="26" t="s">
        <v>119</v>
      </c>
      <c r="AG4" s="12" t="s">
        <v>118</v>
      </c>
      <c r="AH4" s="26" t="s">
        <v>121</v>
      </c>
      <c r="AI4" s="26" t="s">
        <v>122</v>
      </c>
      <c r="AJ4" s="97" t="s">
        <v>123</v>
      </c>
      <c r="AK4" s="97"/>
      <c r="AL4" s="39"/>
      <c r="AT4" s="15" t="s">
        <v>125</v>
      </c>
      <c r="AU4" s="12" t="s">
        <v>118</v>
      </c>
      <c r="AV4" s="26" t="s">
        <v>121</v>
      </c>
      <c r="AW4" s="26" t="s">
        <v>122</v>
      </c>
      <c r="AX4" s="97" t="s">
        <v>123</v>
      </c>
      <c r="AY4" s="97"/>
      <c r="AZ4" s="39"/>
      <c r="BA4" s="98" t="s">
        <v>126</v>
      </c>
      <c r="BB4" s="98"/>
      <c r="BC4" s="98"/>
      <c r="BD4" s="98"/>
      <c r="BE4" s="98"/>
      <c r="BF4" s="98"/>
      <c r="BG4" s="98"/>
      <c r="BH4" s="98"/>
      <c r="BI4" s="98"/>
      <c r="BJ4" s="98"/>
      <c r="BK4" s="98"/>
      <c r="BN4" s="26" t="s">
        <v>127</v>
      </c>
    </row>
    <row r="5" spans="1:66" s="1" customFormat="1" x14ac:dyDescent="0.25">
      <c r="B5" s="1" t="s">
        <v>249</v>
      </c>
      <c r="C5" s="1" t="s">
        <v>203</v>
      </c>
      <c r="D5" s="1" t="s">
        <v>201</v>
      </c>
      <c r="E5" s="1" t="s">
        <v>200</v>
      </c>
      <c r="F5" s="1" t="s">
        <v>337</v>
      </c>
      <c r="G5" s="1" t="s">
        <v>338</v>
      </c>
      <c r="H5" s="1" t="s">
        <v>68</v>
      </c>
      <c r="I5" s="1" t="s">
        <v>133</v>
      </c>
      <c r="J5" s="39"/>
      <c r="K5" s="1" t="s">
        <v>249</v>
      </c>
      <c r="L5" s="1" t="s">
        <v>203</v>
      </c>
      <c r="M5" s="1" t="s">
        <v>201</v>
      </c>
      <c r="N5" s="1" t="s">
        <v>200</v>
      </c>
      <c r="O5" s="1" t="s">
        <v>337</v>
      </c>
      <c r="P5" s="1" t="s">
        <v>338</v>
      </c>
      <c r="Q5" s="1" t="s">
        <v>134</v>
      </c>
      <c r="R5" s="1" t="s">
        <v>339</v>
      </c>
      <c r="S5" s="1" t="s">
        <v>258</v>
      </c>
      <c r="T5" s="1" t="s">
        <v>135</v>
      </c>
      <c r="U5" s="1" t="s">
        <v>136</v>
      </c>
      <c r="V5" s="1" t="s">
        <v>68</v>
      </c>
      <c r="W5" s="26" t="s">
        <v>133</v>
      </c>
      <c r="Y5" s="39"/>
      <c r="Z5" s="1" t="s">
        <v>249</v>
      </c>
      <c r="AA5" s="1" t="s">
        <v>203</v>
      </c>
      <c r="AB5" s="1" t="s">
        <v>201</v>
      </c>
      <c r="AC5" s="1" t="s">
        <v>200</v>
      </c>
      <c r="AD5" s="1" t="s">
        <v>337</v>
      </c>
      <c r="AE5" s="1" t="s">
        <v>338</v>
      </c>
      <c r="AF5" s="1" t="s">
        <v>134</v>
      </c>
      <c r="AG5" s="1" t="s">
        <v>339</v>
      </c>
      <c r="AH5" s="1" t="s">
        <v>135</v>
      </c>
      <c r="AI5" s="1" t="s">
        <v>136</v>
      </c>
      <c r="AJ5" s="1" t="s">
        <v>68</v>
      </c>
      <c r="AK5" s="26" t="s">
        <v>133</v>
      </c>
      <c r="AL5" s="39"/>
      <c r="AM5" s="1" t="s">
        <v>260</v>
      </c>
      <c r="AN5" s="1" t="s">
        <v>203</v>
      </c>
      <c r="AO5" s="1" t="s">
        <v>206</v>
      </c>
      <c r="AP5" s="1" t="s">
        <v>205</v>
      </c>
      <c r="AQ5" s="1" t="s">
        <v>340</v>
      </c>
      <c r="AR5" s="1" t="s">
        <v>341</v>
      </c>
      <c r="AS5" s="1" t="s">
        <v>134</v>
      </c>
      <c r="AT5" s="12" t="s">
        <v>132</v>
      </c>
      <c r="AU5" s="1" t="s">
        <v>339</v>
      </c>
      <c r="AV5" s="1" t="s">
        <v>135</v>
      </c>
      <c r="AW5" s="1" t="s">
        <v>136</v>
      </c>
      <c r="AX5" s="1" t="s">
        <v>68</v>
      </c>
      <c r="AY5" s="26" t="s">
        <v>133</v>
      </c>
      <c r="AZ5" s="39"/>
      <c r="BA5" s="1" t="s">
        <v>260</v>
      </c>
      <c r="BB5" s="1" t="s">
        <v>203</v>
      </c>
      <c r="BC5" s="1" t="s">
        <v>206</v>
      </c>
      <c r="BD5" s="1" t="s">
        <v>205</v>
      </c>
      <c r="BE5" s="1" t="s">
        <v>340</v>
      </c>
      <c r="BF5" s="1" t="s">
        <v>341</v>
      </c>
      <c r="BG5" s="1" t="s">
        <v>134</v>
      </c>
      <c r="BH5" s="12" t="s">
        <v>132</v>
      </c>
      <c r="BI5" s="1" t="s">
        <v>339</v>
      </c>
      <c r="BJ5" s="1" t="s">
        <v>135</v>
      </c>
      <c r="BK5" s="1" t="s">
        <v>136</v>
      </c>
      <c r="BL5" s="1" t="s">
        <v>68</v>
      </c>
      <c r="BM5" s="26" t="s">
        <v>133</v>
      </c>
      <c r="BN5" s="1" t="s">
        <v>138</v>
      </c>
    </row>
    <row r="6" spans="1:66" x14ac:dyDescent="0.25">
      <c r="A6" s="5" t="s">
        <v>139</v>
      </c>
      <c r="B6" s="2" t="s">
        <v>342</v>
      </c>
      <c r="C6" s="2" t="s">
        <v>343</v>
      </c>
      <c r="D6" s="2" t="s">
        <v>344</v>
      </c>
      <c r="E6" s="2" t="s">
        <v>345</v>
      </c>
      <c r="F6" s="2" t="s">
        <v>346</v>
      </c>
      <c r="G6" s="2" t="s">
        <v>347</v>
      </c>
      <c r="H6" s="2" t="s">
        <v>139</v>
      </c>
      <c r="I6" s="23" t="s">
        <v>144</v>
      </c>
      <c r="K6" s="2" t="s">
        <v>342</v>
      </c>
      <c r="L6" s="2" t="s">
        <v>343</v>
      </c>
      <c r="M6" s="2" t="s">
        <v>344</v>
      </c>
      <c r="N6" s="2" t="s">
        <v>345</v>
      </c>
      <c r="O6" s="2" t="s">
        <v>346</v>
      </c>
      <c r="P6" s="2" t="s">
        <v>347</v>
      </c>
      <c r="Q6" s="2" t="s">
        <v>145</v>
      </c>
      <c r="R6" s="10">
        <f t="shared" ref="R6:R15" si="0">YEAR(M6)</f>
        <v>2025</v>
      </c>
      <c r="S6" s="23"/>
      <c r="T6" s="10" t="s">
        <v>139</v>
      </c>
      <c r="U6" s="10" t="s">
        <v>139</v>
      </c>
      <c r="V6" s="10" t="s">
        <v>139</v>
      </c>
      <c r="W6" s="23" t="s">
        <v>144</v>
      </c>
      <c r="Z6" s="2" t="s">
        <v>342</v>
      </c>
      <c r="AA6" s="2" t="s">
        <v>343</v>
      </c>
      <c r="AB6" s="2" t="s">
        <v>344</v>
      </c>
      <c r="AC6" s="2" t="s">
        <v>345</v>
      </c>
      <c r="AD6" s="2" t="s">
        <v>346</v>
      </c>
      <c r="AE6" s="2" t="s">
        <v>347</v>
      </c>
      <c r="AF6" s="2" t="s">
        <v>145</v>
      </c>
      <c r="AG6" s="10">
        <f t="shared" ref="AG6:AG15" si="1">YEAR(AB6)</f>
        <v>2025</v>
      </c>
      <c r="AH6" s="10" t="s">
        <v>139</v>
      </c>
      <c r="AI6" s="10" t="s">
        <v>139</v>
      </c>
      <c r="AJ6" s="10" t="s">
        <v>139</v>
      </c>
      <c r="AK6" s="23" t="s">
        <v>144</v>
      </c>
      <c r="AM6" s="2" t="s">
        <v>342</v>
      </c>
      <c r="AN6" s="2" t="s">
        <v>343</v>
      </c>
      <c r="AO6" s="2" t="s">
        <v>344</v>
      </c>
      <c r="AP6" s="2" t="s">
        <v>345</v>
      </c>
      <c r="AQ6" s="2" t="s">
        <v>346</v>
      </c>
      <c r="AR6" s="2" t="s">
        <v>347</v>
      </c>
      <c r="AS6" s="2" t="s">
        <v>145</v>
      </c>
      <c r="AT6" s="2" t="str">
        <f>AM6&amp;AN6&amp;AO6&amp;AP6&amp;AQ6&amp;AR6&amp;AS6</f>
        <v>012S571054A2025-09-19 00:00:00.0005253-2050.00-5000A</v>
      </c>
      <c r="AU6" s="10">
        <f t="shared" ref="AU6:AU15" si="2">YEAR(AO6)</f>
        <v>2025</v>
      </c>
      <c r="AV6" s="10" t="s">
        <v>139</v>
      </c>
      <c r="AW6" s="10" t="s">
        <v>139</v>
      </c>
      <c r="AX6" s="10" t="s">
        <v>139</v>
      </c>
      <c r="AY6" s="23" t="s">
        <v>144</v>
      </c>
      <c r="BH6" s="2" t="str">
        <f>BA6&amp;BB6&amp;BC6&amp;BD6&amp;BE6&amp;BF6&amp;BG6</f>
        <v/>
      </c>
    </row>
    <row r="7" spans="1:66" x14ac:dyDescent="0.25">
      <c r="B7" s="2" t="s">
        <v>348</v>
      </c>
      <c r="C7" s="2" t="s">
        <v>343</v>
      </c>
      <c r="D7" s="2" t="s">
        <v>349</v>
      </c>
      <c r="E7" s="2" t="s">
        <v>350</v>
      </c>
      <c r="F7" s="2" t="s">
        <v>351</v>
      </c>
      <c r="G7" s="2" t="s">
        <v>352</v>
      </c>
      <c r="H7" s="2" t="s">
        <v>139</v>
      </c>
      <c r="I7" s="23" t="s">
        <v>144</v>
      </c>
      <c r="K7" s="2" t="s">
        <v>348</v>
      </c>
      <c r="L7" s="2" t="s">
        <v>343</v>
      </c>
      <c r="M7" s="2" t="s">
        <v>349</v>
      </c>
      <c r="N7" s="2" t="s">
        <v>350</v>
      </c>
      <c r="O7" s="2" t="s">
        <v>351</v>
      </c>
      <c r="P7" s="2" t="s">
        <v>352</v>
      </c>
      <c r="Q7" s="2" t="s">
        <v>145</v>
      </c>
      <c r="R7" s="10">
        <f t="shared" si="0"/>
        <v>2025</v>
      </c>
      <c r="S7" s="23"/>
      <c r="T7" s="10" t="s">
        <v>139</v>
      </c>
      <c r="U7" s="10" t="s">
        <v>139</v>
      </c>
      <c r="V7" s="10" t="s">
        <v>139</v>
      </c>
      <c r="W7" s="23" t="s">
        <v>144</v>
      </c>
      <c r="Z7" s="2" t="s">
        <v>348</v>
      </c>
      <c r="AA7" s="2" t="s">
        <v>343</v>
      </c>
      <c r="AB7" s="2" t="s">
        <v>349</v>
      </c>
      <c r="AC7" s="2" t="s">
        <v>350</v>
      </c>
      <c r="AD7" s="2" t="s">
        <v>351</v>
      </c>
      <c r="AE7" s="2" t="s">
        <v>352</v>
      </c>
      <c r="AF7" s="2" t="s">
        <v>145</v>
      </c>
      <c r="AG7" s="10">
        <f t="shared" si="1"/>
        <v>2025</v>
      </c>
      <c r="AH7" s="10" t="s">
        <v>139</v>
      </c>
      <c r="AI7" s="10" t="s">
        <v>139</v>
      </c>
      <c r="AJ7" s="10" t="s">
        <v>139</v>
      </c>
      <c r="AK7" s="23" t="s">
        <v>144</v>
      </c>
      <c r="AM7" s="2" t="s">
        <v>348</v>
      </c>
      <c r="AN7" s="2" t="s">
        <v>343</v>
      </c>
      <c r="AO7" s="2" t="s">
        <v>349</v>
      </c>
      <c r="AP7" s="2" t="s">
        <v>350</v>
      </c>
      <c r="AQ7" s="2" t="s">
        <v>351</v>
      </c>
      <c r="AR7" s="2" t="s">
        <v>352</v>
      </c>
      <c r="AS7" s="2" t="s">
        <v>145</v>
      </c>
      <c r="AT7" s="2" t="str">
        <f t="shared" ref="AT7:AT15" si="3">AM7&amp;AN7&amp;AO7&amp;AP7&amp;AQ7&amp;AR7&amp;AS7</f>
        <v>01INT001S571054A2025-10-21 00:00:00.0007113-5062.50-7500A</v>
      </c>
      <c r="AU7" s="10">
        <f t="shared" si="2"/>
        <v>2025</v>
      </c>
      <c r="AV7" s="10" t="s">
        <v>139</v>
      </c>
      <c r="AW7" s="10" t="s">
        <v>139</v>
      </c>
      <c r="AX7" s="10" t="s">
        <v>139</v>
      </c>
      <c r="AY7" s="23" t="s">
        <v>144</v>
      </c>
      <c r="BH7" s="2" t="str">
        <f t="shared" ref="BH7:BH15" si="4">BA7&amp;BB7&amp;BC7&amp;BD7&amp;BE7&amp;BF7&amp;BG7</f>
        <v/>
      </c>
    </row>
    <row r="8" spans="1:66" x14ac:dyDescent="0.25">
      <c r="B8" s="2" t="s">
        <v>348</v>
      </c>
      <c r="C8" s="2" t="s">
        <v>343</v>
      </c>
      <c r="D8" s="2" t="s">
        <v>353</v>
      </c>
      <c r="E8" s="2" t="s">
        <v>354</v>
      </c>
      <c r="F8" s="2" t="s">
        <v>355</v>
      </c>
      <c r="G8" s="2" t="s">
        <v>356</v>
      </c>
      <c r="H8" s="2" t="s">
        <v>139</v>
      </c>
      <c r="I8" s="23" t="s">
        <v>144</v>
      </c>
      <c r="K8" s="2" t="s">
        <v>348</v>
      </c>
      <c r="L8" s="2" t="s">
        <v>343</v>
      </c>
      <c r="M8" s="2" t="s">
        <v>353</v>
      </c>
      <c r="N8" s="2" t="s">
        <v>354</v>
      </c>
      <c r="O8" s="2" t="s">
        <v>355</v>
      </c>
      <c r="P8" s="2" t="s">
        <v>356</v>
      </c>
      <c r="Q8" s="2" t="s">
        <v>145</v>
      </c>
      <c r="R8" s="10">
        <f t="shared" si="0"/>
        <v>2025</v>
      </c>
      <c r="S8" s="23"/>
      <c r="T8" s="10" t="s">
        <v>139</v>
      </c>
      <c r="U8" s="10" t="s">
        <v>139</v>
      </c>
      <c r="V8" s="10" t="s">
        <v>139</v>
      </c>
      <c r="W8" s="23" t="s">
        <v>144</v>
      </c>
      <c r="Z8" s="2" t="s">
        <v>348</v>
      </c>
      <c r="AA8" s="2" t="s">
        <v>343</v>
      </c>
      <c r="AB8" s="2" t="s">
        <v>353</v>
      </c>
      <c r="AC8" s="2" t="s">
        <v>354</v>
      </c>
      <c r="AD8" s="2" t="s">
        <v>355</v>
      </c>
      <c r="AE8" s="2" t="s">
        <v>356</v>
      </c>
      <c r="AF8" s="2" t="s">
        <v>145</v>
      </c>
      <c r="AG8" s="10">
        <f t="shared" si="1"/>
        <v>2025</v>
      </c>
      <c r="AH8" s="10" t="s">
        <v>139</v>
      </c>
      <c r="AI8" s="10" t="s">
        <v>139</v>
      </c>
      <c r="AJ8" s="10" t="s">
        <v>139</v>
      </c>
      <c r="AK8" s="23" t="s">
        <v>144</v>
      </c>
      <c r="AM8" s="2" t="s">
        <v>348</v>
      </c>
      <c r="AN8" s="2" t="s">
        <v>343</v>
      </c>
      <c r="AO8" s="2" t="s">
        <v>353</v>
      </c>
      <c r="AP8" s="2" t="s">
        <v>354</v>
      </c>
      <c r="AQ8" s="2" t="s">
        <v>355</v>
      </c>
      <c r="AR8" s="2" t="s">
        <v>356</v>
      </c>
      <c r="AS8" s="2" t="s">
        <v>145</v>
      </c>
      <c r="AT8" s="2" t="str">
        <f t="shared" si="3"/>
        <v>01INT001S571054A2025-11-20 00:00:00.0005184-17223.50-25900A</v>
      </c>
      <c r="AU8" s="10">
        <f t="shared" si="2"/>
        <v>2025</v>
      </c>
      <c r="AV8" s="10" t="s">
        <v>139</v>
      </c>
      <c r="AW8" s="10" t="s">
        <v>139</v>
      </c>
      <c r="AX8" s="10" t="s">
        <v>139</v>
      </c>
      <c r="AY8" s="23" t="s">
        <v>144</v>
      </c>
      <c r="BH8" s="2" t="str">
        <f t="shared" si="4"/>
        <v/>
      </c>
    </row>
    <row r="9" spans="1:66" x14ac:dyDescent="0.25">
      <c r="B9" s="2" t="s">
        <v>357</v>
      </c>
      <c r="C9" s="2" t="s">
        <v>358</v>
      </c>
      <c r="D9" s="2" t="s">
        <v>344</v>
      </c>
      <c r="E9" s="2" t="s">
        <v>359</v>
      </c>
      <c r="F9" s="2" t="s">
        <v>360</v>
      </c>
      <c r="G9" s="2" t="s">
        <v>361</v>
      </c>
      <c r="H9" s="2" t="s">
        <v>139</v>
      </c>
      <c r="I9" s="23" t="s">
        <v>144</v>
      </c>
      <c r="K9" s="2" t="s">
        <v>357</v>
      </c>
      <c r="L9" s="2" t="s">
        <v>358</v>
      </c>
      <c r="M9" s="2" t="s">
        <v>344</v>
      </c>
      <c r="N9" s="2" t="s">
        <v>359</v>
      </c>
      <c r="O9" s="2" t="s">
        <v>360</v>
      </c>
      <c r="P9" s="2" t="s">
        <v>361</v>
      </c>
      <c r="Q9" s="2" t="s">
        <v>145</v>
      </c>
      <c r="R9" s="10">
        <f t="shared" si="0"/>
        <v>2025</v>
      </c>
      <c r="S9" s="23"/>
      <c r="T9" s="10" t="s">
        <v>139</v>
      </c>
      <c r="U9" s="10" t="s">
        <v>139</v>
      </c>
      <c r="V9" s="10" t="s">
        <v>139</v>
      </c>
      <c r="W9" s="23" t="s">
        <v>144</v>
      </c>
      <c r="Z9" s="2" t="s">
        <v>357</v>
      </c>
      <c r="AA9" s="2" t="s">
        <v>358</v>
      </c>
      <c r="AB9" s="2" t="s">
        <v>344</v>
      </c>
      <c r="AC9" s="2" t="s">
        <v>359</v>
      </c>
      <c r="AD9" s="2" t="s">
        <v>360</v>
      </c>
      <c r="AE9" s="2" t="s">
        <v>361</v>
      </c>
      <c r="AF9" s="2" t="s">
        <v>145</v>
      </c>
      <c r="AG9" s="10">
        <f t="shared" si="1"/>
        <v>2025</v>
      </c>
      <c r="AH9" s="10" t="s">
        <v>139</v>
      </c>
      <c r="AI9" s="10" t="s">
        <v>139</v>
      </c>
      <c r="AJ9" s="10" t="s">
        <v>139</v>
      </c>
      <c r="AK9" s="23" t="s">
        <v>144</v>
      </c>
      <c r="AM9" s="2" t="s">
        <v>357</v>
      </c>
      <c r="AN9" s="2" t="s">
        <v>358</v>
      </c>
      <c r="AO9" s="2" t="s">
        <v>344</v>
      </c>
      <c r="AP9" s="2" t="s">
        <v>359</v>
      </c>
      <c r="AQ9" s="2" t="s">
        <v>360</v>
      </c>
      <c r="AR9" s="2" t="s">
        <v>361</v>
      </c>
      <c r="AS9" s="2" t="s">
        <v>145</v>
      </c>
      <c r="AT9" s="2" t="str">
        <f t="shared" si="3"/>
        <v>058S571055A2025-09-19 00:00:00.0007250-6969.00-13800A</v>
      </c>
      <c r="AU9" s="10">
        <f t="shared" si="2"/>
        <v>2025</v>
      </c>
      <c r="AV9" s="10" t="s">
        <v>139</v>
      </c>
      <c r="AW9" s="10" t="s">
        <v>139</v>
      </c>
      <c r="AX9" s="10" t="s">
        <v>139</v>
      </c>
      <c r="AY9" s="23" t="s">
        <v>144</v>
      </c>
      <c r="BH9" s="2" t="str">
        <f t="shared" si="4"/>
        <v/>
      </c>
    </row>
    <row r="10" spans="1:66" x14ac:dyDescent="0.25">
      <c r="B10" s="2" t="s">
        <v>348</v>
      </c>
      <c r="C10" s="2" t="s">
        <v>358</v>
      </c>
      <c r="D10" s="2" t="s">
        <v>349</v>
      </c>
      <c r="E10" s="2" t="s">
        <v>362</v>
      </c>
      <c r="F10" s="2" t="s">
        <v>363</v>
      </c>
      <c r="G10" s="2" t="s">
        <v>364</v>
      </c>
      <c r="H10" s="2" t="s">
        <v>139</v>
      </c>
      <c r="I10" s="23" t="s">
        <v>144</v>
      </c>
      <c r="K10" s="2" t="s">
        <v>348</v>
      </c>
      <c r="L10" s="2" t="s">
        <v>358</v>
      </c>
      <c r="M10" s="2" t="s">
        <v>349</v>
      </c>
      <c r="N10" s="2" t="s">
        <v>362</v>
      </c>
      <c r="O10" s="2" t="s">
        <v>363</v>
      </c>
      <c r="P10" s="2" t="s">
        <v>364</v>
      </c>
      <c r="Q10" s="2" t="s">
        <v>145</v>
      </c>
      <c r="R10" s="10">
        <f t="shared" si="0"/>
        <v>2025</v>
      </c>
      <c r="S10" s="23"/>
      <c r="T10" s="10" t="s">
        <v>139</v>
      </c>
      <c r="U10" s="10" t="s">
        <v>139</v>
      </c>
      <c r="V10" s="10" t="s">
        <v>139</v>
      </c>
      <c r="W10" s="23" t="s">
        <v>144</v>
      </c>
      <c r="Z10" s="2" t="s">
        <v>348</v>
      </c>
      <c r="AA10" s="2" t="s">
        <v>358</v>
      </c>
      <c r="AB10" s="2" t="s">
        <v>349</v>
      </c>
      <c r="AC10" s="2" t="s">
        <v>362</v>
      </c>
      <c r="AD10" s="2" t="s">
        <v>363</v>
      </c>
      <c r="AE10" s="2" t="s">
        <v>364</v>
      </c>
      <c r="AF10" s="2" t="s">
        <v>145</v>
      </c>
      <c r="AG10" s="10">
        <f t="shared" si="1"/>
        <v>2025</v>
      </c>
      <c r="AH10" s="10" t="s">
        <v>139</v>
      </c>
      <c r="AI10" s="10" t="s">
        <v>139</v>
      </c>
      <c r="AJ10" s="10" t="s">
        <v>139</v>
      </c>
      <c r="AK10" s="23" t="s">
        <v>144</v>
      </c>
      <c r="AM10" s="2" t="s">
        <v>348</v>
      </c>
      <c r="AN10" s="2" t="s">
        <v>358</v>
      </c>
      <c r="AO10" s="2" t="s">
        <v>349</v>
      </c>
      <c r="AP10" s="2" t="s">
        <v>362</v>
      </c>
      <c r="AQ10" s="2" t="s">
        <v>363</v>
      </c>
      <c r="AR10" s="2" t="s">
        <v>364</v>
      </c>
      <c r="AS10" s="2" t="s">
        <v>145</v>
      </c>
      <c r="AT10" s="2" t="str">
        <f t="shared" si="3"/>
        <v>01INT001S571055A2025-10-21 00:00:00.0003336-26000.00-10000A</v>
      </c>
      <c r="AU10" s="10">
        <f t="shared" si="2"/>
        <v>2025</v>
      </c>
      <c r="AV10" s="10" t="s">
        <v>139</v>
      </c>
      <c r="AW10" s="10" t="s">
        <v>139</v>
      </c>
      <c r="AX10" s="10" t="s">
        <v>139</v>
      </c>
      <c r="AY10" s="23" t="s">
        <v>144</v>
      </c>
      <c r="BH10" s="2" t="str">
        <f t="shared" si="4"/>
        <v/>
      </c>
    </row>
    <row r="11" spans="1:66" x14ac:dyDescent="0.25">
      <c r="B11" s="2" t="s">
        <v>348</v>
      </c>
      <c r="C11" s="2" t="s">
        <v>358</v>
      </c>
      <c r="D11" s="2" t="s">
        <v>353</v>
      </c>
      <c r="E11" s="2" t="s">
        <v>354</v>
      </c>
      <c r="F11" s="2" t="s">
        <v>365</v>
      </c>
      <c r="G11" s="2" t="s">
        <v>366</v>
      </c>
      <c r="H11" s="2" t="s">
        <v>139</v>
      </c>
      <c r="I11" s="23" t="s">
        <v>144</v>
      </c>
      <c r="K11" s="2" t="s">
        <v>348</v>
      </c>
      <c r="L11" s="2" t="s">
        <v>358</v>
      </c>
      <c r="M11" s="2" t="s">
        <v>353</v>
      </c>
      <c r="N11" s="2" t="s">
        <v>354</v>
      </c>
      <c r="O11" s="2" t="s">
        <v>365</v>
      </c>
      <c r="P11" s="2" t="s">
        <v>366</v>
      </c>
      <c r="Q11" s="2" t="s">
        <v>145</v>
      </c>
      <c r="R11" s="10">
        <f t="shared" si="0"/>
        <v>2025</v>
      </c>
      <c r="S11" s="23"/>
      <c r="T11" s="10" t="s">
        <v>139</v>
      </c>
      <c r="U11" s="10" t="s">
        <v>139</v>
      </c>
      <c r="V11" s="10" t="s">
        <v>139</v>
      </c>
      <c r="W11" s="23" t="s">
        <v>144</v>
      </c>
      <c r="Z11" s="2" t="s">
        <v>348</v>
      </c>
      <c r="AA11" s="2" t="s">
        <v>358</v>
      </c>
      <c r="AB11" s="2" t="s">
        <v>353</v>
      </c>
      <c r="AC11" s="2" t="s">
        <v>354</v>
      </c>
      <c r="AD11" s="2" t="s">
        <v>365</v>
      </c>
      <c r="AE11" s="2" t="s">
        <v>366</v>
      </c>
      <c r="AF11" s="2" t="s">
        <v>145</v>
      </c>
      <c r="AG11" s="10">
        <f t="shared" si="1"/>
        <v>2025</v>
      </c>
      <c r="AH11" s="10" t="s">
        <v>139</v>
      </c>
      <c r="AI11" s="10" t="s">
        <v>139</v>
      </c>
      <c r="AJ11" s="10" t="s">
        <v>139</v>
      </c>
      <c r="AK11" s="23" t="s">
        <v>144</v>
      </c>
      <c r="AM11" s="2" t="s">
        <v>348</v>
      </c>
      <c r="AN11" s="2" t="s">
        <v>358</v>
      </c>
      <c r="AO11" s="2" t="s">
        <v>353</v>
      </c>
      <c r="AP11" s="2" t="s">
        <v>354</v>
      </c>
      <c r="AQ11" s="2" t="s">
        <v>365</v>
      </c>
      <c r="AR11" s="2" t="s">
        <v>366</v>
      </c>
      <c r="AS11" s="2" t="s">
        <v>145</v>
      </c>
      <c r="AT11" s="2" t="str">
        <f t="shared" si="3"/>
        <v>01INT001S571055A2025-11-20 00:00:00.0005184-18021.50-27100A</v>
      </c>
      <c r="AU11" s="10">
        <f t="shared" si="2"/>
        <v>2025</v>
      </c>
      <c r="AV11" s="10" t="s">
        <v>139</v>
      </c>
      <c r="AW11" s="10" t="s">
        <v>139</v>
      </c>
      <c r="AX11" s="10" t="s">
        <v>139</v>
      </c>
      <c r="AY11" s="23" t="s">
        <v>144</v>
      </c>
      <c r="BH11" s="2" t="str">
        <f t="shared" si="4"/>
        <v/>
      </c>
    </row>
    <row r="12" spans="1:66" x14ac:dyDescent="0.25">
      <c r="B12" s="2" t="s">
        <v>348</v>
      </c>
      <c r="C12" s="2" t="s">
        <v>367</v>
      </c>
      <c r="D12" s="2" t="s">
        <v>349</v>
      </c>
      <c r="E12" s="2" t="s">
        <v>368</v>
      </c>
      <c r="F12" s="2" t="s">
        <v>369</v>
      </c>
      <c r="G12" s="2" t="s">
        <v>370</v>
      </c>
      <c r="H12" s="2" t="s">
        <v>139</v>
      </c>
      <c r="I12" s="23" t="s">
        <v>144</v>
      </c>
      <c r="K12" s="2" t="s">
        <v>348</v>
      </c>
      <c r="L12" s="2" t="s">
        <v>367</v>
      </c>
      <c r="M12" s="2" t="s">
        <v>349</v>
      </c>
      <c r="N12" s="2" t="s">
        <v>368</v>
      </c>
      <c r="O12" s="2" t="s">
        <v>369</v>
      </c>
      <c r="P12" s="2" t="s">
        <v>370</v>
      </c>
      <c r="Q12" s="2" t="s">
        <v>145</v>
      </c>
      <c r="R12" s="10">
        <f t="shared" si="0"/>
        <v>2025</v>
      </c>
      <c r="S12" s="23"/>
      <c r="T12" s="10" t="s">
        <v>139</v>
      </c>
      <c r="U12" s="10" t="s">
        <v>139</v>
      </c>
      <c r="V12" s="10" t="s">
        <v>139</v>
      </c>
      <c r="W12" s="23" t="s">
        <v>144</v>
      </c>
      <c r="Z12" s="2" t="s">
        <v>348</v>
      </c>
      <c r="AA12" s="2" t="s">
        <v>367</v>
      </c>
      <c r="AB12" s="2" t="s">
        <v>349</v>
      </c>
      <c r="AC12" s="2" t="s">
        <v>368</v>
      </c>
      <c r="AD12" s="2" t="s">
        <v>369</v>
      </c>
      <c r="AE12" s="2" t="s">
        <v>370</v>
      </c>
      <c r="AF12" s="2" t="s">
        <v>145</v>
      </c>
      <c r="AG12" s="10">
        <f t="shared" si="1"/>
        <v>2025</v>
      </c>
      <c r="AH12" s="10" t="s">
        <v>139</v>
      </c>
      <c r="AI12" s="10" t="s">
        <v>139</v>
      </c>
      <c r="AJ12" s="10" t="s">
        <v>139</v>
      </c>
      <c r="AK12" s="23" t="s">
        <v>144</v>
      </c>
      <c r="AM12" s="2" t="s">
        <v>348</v>
      </c>
      <c r="AN12" s="2" t="s">
        <v>367</v>
      </c>
      <c r="AO12" s="2" t="s">
        <v>349</v>
      </c>
      <c r="AP12" s="2" t="s">
        <v>368</v>
      </c>
      <c r="AQ12" s="2" t="s">
        <v>369</v>
      </c>
      <c r="AR12" s="2" t="s">
        <v>370</v>
      </c>
      <c r="AS12" s="2" t="s">
        <v>145</v>
      </c>
      <c r="AT12" s="2" t="str">
        <f t="shared" si="3"/>
        <v>01INT001S571056A2025-10-21 00:00:00.0000225-19646.00-9400A</v>
      </c>
      <c r="AU12" s="10">
        <f t="shared" si="2"/>
        <v>2025</v>
      </c>
      <c r="AV12" s="10" t="s">
        <v>139</v>
      </c>
      <c r="AW12" s="10" t="s">
        <v>139</v>
      </c>
      <c r="AX12" s="10" t="s">
        <v>139</v>
      </c>
      <c r="AY12" s="23" t="s">
        <v>144</v>
      </c>
      <c r="BH12" s="2" t="str">
        <f t="shared" si="4"/>
        <v/>
      </c>
    </row>
    <row r="13" spans="1:66" x14ac:dyDescent="0.25">
      <c r="B13" s="2" t="s">
        <v>371</v>
      </c>
      <c r="C13" s="2" t="s">
        <v>367</v>
      </c>
      <c r="D13" s="2" t="s">
        <v>353</v>
      </c>
      <c r="E13" s="2" t="s">
        <v>372</v>
      </c>
      <c r="F13" s="2" t="s">
        <v>373</v>
      </c>
      <c r="G13" s="2" t="s">
        <v>374</v>
      </c>
      <c r="H13" s="2" t="s">
        <v>139</v>
      </c>
      <c r="I13" s="23" t="s">
        <v>144</v>
      </c>
      <c r="K13" s="2" t="s">
        <v>371</v>
      </c>
      <c r="L13" s="2" t="s">
        <v>367</v>
      </c>
      <c r="M13" s="2" t="s">
        <v>353</v>
      </c>
      <c r="N13" s="2" t="s">
        <v>372</v>
      </c>
      <c r="O13" s="2" t="s">
        <v>373</v>
      </c>
      <c r="P13" s="2" t="s">
        <v>374</v>
      </c>
      <c r="Q13" s="2" t="s">
        <v>145</v>
      </c>
      <c r="R13" s="10">
        <f t="shared" si="0"/>
        <v>2025</v>
      </c>
      <c r="S13" s="23"/>
      <c r="T13" s="10" t="s">
        <v>139</v>
      </c>
      <c r="U13" s="10" t="s">
        <v>139</v>
      </c>
      <c r="V13" s="10" t="s">
        <v>139</v>
      </c>
      <c r="W13" s="23" t="s">
        <v>144</v>
      </c>
      <c r="Z13" s="2" t="s">
        <v>371</v>
      </c>
      <c r="AA13" s="2" t="s">
        <v>367</v>
      </c>
      <c r="AB13" s="2" t="s">
        <v>353</v>
      </c>
      <c r="AC13" s="2" t="s">
        <v>372</v>
      </c>
      <c r="AD13" s="2" t="s">
        <v>373</v>
      </c>
      <c r="AE13" s="2" t="s">
        <v>374</v>
      </c>
      <c r="AF13" s="2" t="s">
        <v>145</v>
      </c>
      <c r="AG13" s="10">
        <f t="shared" si="1"/>
        <v>2025</v>
      </c>
      <c r="AH13" s="10" t="s">
        <v>139</v>
      </c>
      <c r="AI13" s="10" t="s">
        <v>139</v>
      </c>
      <c r="AJ13" s="10" t="s">
        <v>139</v>
      </c>
      <c r="AK13" s="23" t="s">
        <v>144</v>
      </c>
      <c r="AM13" s="2" t="s">
        <v>371</v>
      </c>
      <c r="AN13" s="2" t="s">
        <v>367</v>
      </c>
      <c r="AO13" s="2" t="s">
        <v>353</v>
      </c>
      <c r="AP13" s="2" t="s">
        <v>372</v>
      </c>
      <c r="AQ13" s="2" t="s">
        <v>373</v>
      </c>
      <c r="AR13" s="2" t="s">
        <v>374</v>
      </c>
      <c r="AS13" s="2" t="s">
        <v>145</v>
      </c>
      <c r="AT13" s="2" t="str">
        <f t="shared" si="3"/>
        <v>CLR001671S571056A2025-11-20 00:00:00.0005216-2888.00-7600A</v>
      </c>
      <c r="AU13" s="10">
        <f t="shared" si="2"/>
        <v>2025</v>
      </c>
      <c r="AV13" s="10" t="s">
        <v>139</v>
      </c>
      <c r="AW13" s="10" t="s">
        <v>139</v>
      </c>
      <c r="AX13" s="10" t="s">
        <v>139</v>
      </c>
      <c r="AY13" s="23" t="s">
        <v>144</v>
      </c>
      <c r="BH13" s="2" t="str">
        <f t="shared" si="4"/>
        <v/>
      </c>
    </row>
    <row r="14" spans="1:66" x14ac:dyDescent="0.25">
      <c r="B14" s="2" t="s">
        <v>375</v>
      </c>
      <c r="C14" s="2" t="s">
        <v>376</v>
      </c>
      <c r="D14" s="2" t="s">
        <v>344</v>
      </c>
      <c r="E14" s="2" t="s">
        <v>377</v>
      </c>
      <c r="F14" s="2" t="s">
        <v>378</v>
      </c>
      <c r="G14" s="2" t="s">
        <v>364</v>
      </c>
      <c r="H14" s="2" t="s">
        <v>139</v>
      </c>
      <c r="I14" s="23" t="s">
        <v>144</v>
      </c>
      <c r="K14" s="2" t="s">
        <v>375</v>
      </c>
      <c r="L14" s="2" t="s">
        <v>376</v>
      </c>
      <c r="M14" s="2" t="s">
        <v>344</v>
      </c>
      <c r="N14" s="2" t="s">
        <v>377</v>
      </c>
      <c r="O14" s="2" t="s">
        <v>378</v>
      </c>
      <c r="P14" s="2" t="s">
        <v>364</v>
      </c>
      <c r="Q14" s="2" t="s">
        <v>145</v>
      </c>
      <c r="R14" s="10">
        <f t="shared" si="0"/>
        <v>2025</v>
      </c>
      <c r="S14" s="23"/>
      <c r="T14" s="10" t="s">
        <v>139</v>
      </c>
      <c r="U14" s="10" t="s">
        <v>139</v>
      </c>
      <c r="V14" s="10" t="s">
        <v>139</v>
      </c>
      <c r="W14" s="23" t="s">
        <v>144</v>
      </c>
      <c r="Z14" s="2" t="s">
        <v>375</v>
      </c>
      <c r="AA14" s="2" t="s">
        <v>376</v>
      </c>
      <c r="AB14" s="2" t="s">
        <v>344</v>
      </c>
      <c r="AC14" s="2" t="s">
        <v>377</v>
      </c>
      <c r="AD14" s="2" t="s">
        <v>378</v>
      </c>
      <c r="AE14" s="2" t="s">
        <v>364</v>
      </c>
      <c r="AF14" s="2" t="s">
        <v>145</v>
      </c>
      <c r="AG14" s="10">
        <f t="shared" si="1"/>
        <v>2025</v>
      </c>
      <c r="AH14" s="10" t="s">
        <v>139</v>
      </c>
      <c r="AI14" s="10" t="s">
        <v>139</v>
      </c>
      <c r="AJ14" s="10" t="s">
        <v>139</v>
      </c>
      <c r="AK14" s="23" t="s">
        <v>144</v>
      </c>
      <c r="AM14" s="2" t="s">
        <v>375</v>
      </c>
      <c r="AN14" s="2" t="s">
        <v>376</v>
      </c>
      <c r="AO14" s="2" t="s">
        <v>344</v>
      </c>
      <c r="AP14" s="2" t="s">
        <v>377</v>
      </c>
      <c r="AQ14" s="2" t="s">
        <v>378</v>
      </c>
      <c r="AR14" s="2" t="s">
        <v>364</v>
      </c>
      <c r="AS14" s="2" t="s">
        <v>145</v>
      </c>
      <c r="AT14" s="2" t="str">
        <f t="shared" si="3"/>
        <v>031S571057A2025-09-19 00:00:00.0006963-5500.00-10000A</v>
      </c>
      <c r="AU14" s="10">
        <f t="shared" si="2"/>
        <v>2025</v>
      </c>
      <c r="AV14" s="10" t="s">
        <v>139</v>
      </c>
      <c r="AW14" s="10" t="s">
        <v>139</v>
      </c>
      <c r="AX14" s="10" t="s">
        <v>139</v>
      </c>
      <c r="AY14" s="23" t="s">
        <v>144</v>
      </c>
      <c r="BH14" s="2" t="str">
        <f t="shared" si="4"/>
        <v/>
      </c>
    </row>
    <row r="15" spans="1:66" x14ac:dyDescent="0.25">
      <c r="B15" s="2" t="s">
        <v>379</v>
      </c>
      <c r="C15" s="2" t="s">
        <v>376</v>
      </c>
      <c r="D15" s="2" t="s">
        <v>349</v>
      </c>
      <c r="E15" s="2" t="s">
        <v>380</v>
      </c>
      <c r="F15" s="2" t="s">
        <v>381</v>
      </c>
      <c r="G15" s="2" t="s">
        <v>382</v>
      </c>
      <c r="H15" s="2" t="s">
        <v>139</v>
      </c>
      <c r="I15" s="23" t="s">
        <v>144</v>
      </c>
      <c r="K15" s="2" t="s">
        <v>379</v>
      </c>
      <c r="L15" s="2" t="s">
        <v>376</v>
      </c>
      <c r="M15" s="2" t="s">
        <v>349</v>
      </c>
      <c r="N15" s="2" t="s">
        <v>380</v>
      </c>
      <c r="O15" s="2" t="s">
        <v>381</v>
      </c>
      <c r="P15" s="2" t="s">
        <v>382</v>
      </c>
      <c r="Q15" s="2" t="s">
        <v>145</v>
      </c>
      <c r="R15" s="10">
        <f t="shared" si="0"/>
        <v>2025</v>
      </c>
      <c r="S15" s="23"/>
      <c r="T15" s="10" t="s">
        <v>139</v>
      </c>
      <c r="U15" s="10" t="s">
        <v>139</v>
      </c>
      <c r="V15" s="10" t="s">
        <v>139</v>
      </c>
      <c r="W15" s="23" t="s">
        <v>144</v>
      </c>
      <c r="Z15" s="2" t="s">
        <v>379</v>
      </c>
      <c r="AA15" s="2" t="s">
        <v>376</v>
      </c>
      <c r="AB15" s="2" t="s">
        <v>349</v>
      </c>
      <c r="AC15" s="2" t="s">
        <v>380</v>
      </c>
      <c r="AD15" s="2" t="s">
        <v>381</v>
      </c>
      <c r="AE15" s="2" t="s">
        <v>382</v>
      </c>
      <c r="AF15" s="2" t="s">
        <v>145</v>
      </c>
      <c r="AG15" s="10">
        <f t="shared" si="1"/>
        <v>2025</v>
      </c>
      <c r="AH15" s="10" t="s">
        <v>139</v>
      </c>
      <c r="AI15" s="10" t="s">
        <v>139</v>
      </c>
      <c r="AJ15" s="10" t="s">
        <v>139</v>
      </c>
      <c r="AK15" s="23" t="s">
        <v>144</v>
      </c>
      <c r="AM15" s="2" t="s">
        <v>379</v>
      </c>
      <c r="AN15" s="2" t="s">
        <v>376</v>
      </c>
      <c r="AO15" s="2" t="s">
        <v>349</v>
      </c>
      <c r="AP15" s="2" t="s">
        <v>380</v>
      </c>
      <c r="AQ15" s="2" t="s">
        <v>381</v>
      </c>
      <c r="AR15" s="2" t="s">
        <v>382</v>
      </c>
      <c r="AS15" s="2" t="s">
        <v>145</v>
      </c>
      <c r="AT15" s="2" t="str">
        <f t="shared" si="3"/>
        <v>068S571057A2025-10-21 00:00:00.0007139-4393.50-30300A</v>
      </c>
      <c r="AU15" s="10">
        <f t="shared" si="2"/>
        <v>2025</v>
      </c>
      <c r="AV15" s="10" t="s">
        <v>139</v>
      </c>
      <c r="AW15" s="10" t="s">
        <v>139</v>
      </c>
      <c r="AX15" s="10" t="s">
        <v>139</v>
      </c>
      <c r="AY15" s="23" t="s">
        <v>144</v>
      </c>
      <c r="BH15" s="2" t="str">
        <f t="shared" si="4"/>
        <v/>
      </c>
    </row>
    <row r="16" spans="1:66" s="6" customFormat="1" x14ac:dyDescent="0.25">
      <c r="J16" s="40"/>
      <c r="K16" s="9" t="s">
        <v>318</v>
      </c>
      <c r="R16" s="13"/>
      <c r="T16" s="13"/>
      <c r="U16" s="13"/>
      <c r="V16" s="13"/>
      <c r="W16" s="41"/>
      <c r="Y16" s="40"/>
      <c r="Z16" s="9" t="s">
        <v>383</v>
      </c>
      <c r="AG16" s="16"/>
      <c r="AH16" s="16"/>
      <c r="AI16" s="16"/>
      <c r="AL16" s="40"/>
      <c r="AM16" s="28" t="s">
        <v>319</v>
      </c>
      <c r="AT16" s="28"/>
      <c r="AV16" s="16"/>
      <c r="AW16" s="16"/>
      <c r="AZ16" s="40"/>
      <c r="BH16" s="28"/>
    </row>
    <row r="17" spans="1:66" ht="60" x14ac:dyDescent="0.25">
      <c r="A17" s="5" t="s">
        <v>190</v>
      </c>
      <c r="B17" s="7" t="s">
        <v>384</v>
      </c>
      <c r="C17" s="7" t="s">
        <v>376</v>
      </c>
      <c r="D17" s="7" t="s">
        <v>353</v>
      </c>
      <c r="E17" s="7" t="s">
        <v>354</v>
      </c>
      <c r="F17" s="7" t="s">
        <v>385</v>
      </c>
      <c r="G17" s="7" t="s">
        <v>386</v>
      </c>
      <c r="H17" s="27" t="s">
        <v>190</v>
      </c>
      <c r="I17" s="27" t="s">
        <v>192</v>
      </c>
      <c r="K17" s="2" t="s">
        <v>342</v>
      </c>
      <c r="L17" s="2" t="s">
        <v>343</v>
      </c>
      <c r="M17" s="2" t="s">
        <v>344</v>
      </c>
      <c r="N17" s="2" t="s">
        <v>345</v>
      </c>
      <c r="O17" s="2" t="s">
        <v>346</v>
      </c>
      <c r="P17" s="2" t="s">
        <v>347</v>
      </c>
      <c r="Q17" s="7" t="s">
        <v>194</v>
      </c>
      <c r="R17" s="10">
        <f t="shared" ref="R17:R27" si="5">YEAR(M17)</f>
        <v>2025</v>
      </c>
      <c r="S17" s="25" t="s">
        <v>387</v>
      </c>
      <c r="T17" s="10" t="s">
        <v>139</v>
      </c>
      <c r="U17" s="14" t="s">
        <v>190</v>
      </c>
      <c r="V17" s="14" t="s">
        <v>190</v>
      </c>
      <c r="W17" s="25" t="s">
        <v>192</v>
      </c>
      <c r="X17" s="23" t="s">
        <v>388</v>
      </c>
      <c r="Z17" s="2" t="s">
        <v>342</v>
      </c>
      <c r="AA17" s="2" t="s">
        <v>343</v>
      </c>
      <c r="AB17" s="2" t="s">
        <v>344</v>
      </c>
      <c r="AC17" s="2" t="s">
        <v>345</v>
      </c>
      <c r="AD17" s="2" t="s">
        <v>346</v>
      </c>
      <c r="AE17" s="2" t="s">
        <v>347</v>
      </c>
      <c r="AF17" s="7" t="s">
        <v>194</v>
      </c>
      <c r="AG17" s="10">
        <f t="shared" ref="AG17:AG27" si="6">YEAR(AB17)</f>
        <v>2025</v>
      </c>
      <c r="AH17" s="10" t="s">
        <v>139</v>
      </c>
      <c r="AI17" s="14" t="s">
        <v>190</v>
      </c>
      <c r="AJ17" s="14" t="s">
        <v>190</v>
      </c>
      <c r="AK17" s="25" t="s">
        <v>192</v>
      </c>
      <c r="AM17" s="2" t="s">
        <v>342</v>
      </c>
      <c r="AN17" s="2" t="s">
        <v>343</v>
      </c>
      <c r="AO17" s="2" t="s">
        <v>344</v>
      </c>
      <c r="AP17" s="2" t="s">
        <v>345</v>
      </c>
      <c r="AQ17" s="2" t="s">
        <v>346</v>
      </c>
      <c r="AR17" s="2" t="s">
        <v>347</v>
      </c>
      <c r="AS17" s="7" t="s">
        <v>194</v>
      </c>
      <c r="AT17" s="2" t="str">
        <f t="shared" ref="AT17:AT27" si="7">AM17&amp;AN17&amp;AO17&amp;AP17&amp;AQ17&amp;AR17&amp;AS17</f>
        <v>012S571054A2025-09-19 00:00:00.0005253-2050.00-5000X</v>
      </c>
      <c r="AU17" s="10">
        <f t="shared" ref="AU17:AU27" si="8">YEAR(AO17)</f>
        <v>2025</v>
      </c>
      <c r="AV17" s="10" t="s">
        <v>139</v>
      </c>
      <c r="AW17" s="14" t="s">
        <v>190</v>
      </c>
      <c r="AX17" s="14" t="s">
        <v>190</v>
      </c>
      <c r="AY17" s="25" t="s">
        <v>192</v>
      </c>
      <c r="BA17" s="2" t="s">
        <v>342</v>
      </c>
      <c r="BB17" s="2" t="s">
        <v>343</v>
      </c>
      <c r="BC17" s="2" t="s">
        <v>344</v>
      </c>
      <c r="BD17" s="2" t="s">
        <v>345</v>
      </c>
      <c r="BE17" s="2" t="s">
        <v>346</v>
      </c>
      <c r="BF17" s="2" t="s">
        <v>347</v>
      </c>
      <c r="BG17" s="2" t="s">
        <v>145</v>
      </c>
      <c r="BH17" s="10" t="s">
        <v>389</v>
      </c>
      <c r="BI17" s="2">
        <v>2025</v>
      </c>
      <c r="BJ17" s="2" t="s">
        <v>139</v>
      </c>
      <c r="BK17" s="2" t="s">
        <v>139</v>
      </c>
      <c r="BL17" s="14" t="s">
        <v>190</v>
      </c>
      <c r="BM17" s="25" t="s">
        <v>192</v>
      </c>
      <c r="BN17" s="7" t="s">
        <v>193</v>
      </c>
    </row>
    <row r="18" spans="1:66" x14ac:dyDescent="0.25">
      <c r="B18" s="2" t="s">
        <v>375</v>
      </c>
      <c r="C18" s="2" t="s">
        <v>376</v>
      </c>
      <c r="D18" s="2" t="s">
        <v>344</v>
      </c>
      <c r="E18" s="2" t="s">
        <v>377</v>
      </c>
      <c r="F18" s="7" t="s">
        <v>390</v>
      </c>
      <c r="G18" s="2" t="s">
        <v>364</v>
      </c>
      <c r="H18" s="27" t="s">
        <v>190</v>
      </c>
      <c r="I18" s="27" t="s">
        <v>192</v>
      </c>
      <c r="K18" s="2" t="s">
        <v>348</v>
      </c>
      <c r="L18" s="2" t="s">
        <v>343</v>
      </c>
      <c r="M18" s="2" t="s">
        <v>349</v>
      </c>
      <c r="N18" s="2" t="s">
        <v>350</v>
      </c>
      <c r="O18" s="2" t="s">
        <v>351</v>
      </c>
      <c r="P18" s="2" t="s">
        <v>352</v>
      </c>
      <c r="Q18" s="2" t="s">
        <v>145</v>
      </c>
      <c r="R18" s="10">
        <f t="shared" si="5"/>
        <v>2025</v>
      </c>
      <c r="S18" s="23"/>
      <c r="T18" s="10" t="s">
        <v>139</v>
      </c>
      <c r="U18" s="10" t="s">
        <v>139</v>
      </c>
      <c r="V18" s="14" t="s">
        <v>190</v>
      </c>
      <c r="W18" s="25" t="s">
        <v>192</v>
      </c>
      <c r="Z18" s="2" t="s">
        <v>348</v>
      </c>
      <c r="AA18" s="2" t="s">
        <v>343</v>
      </c>
      <c r="AB18" s="2" t="s">
        <v>349</v>
      </c>
      <c r="AC18" s="2" t="s">
        <v>350</v>
      </c>
      <c r="AD18" s="2" t="s">
        <v>351</v>
      </c>
      <c r="AE18" s="2" t="s">
        <v>352</v>
      </c>
      <c r="AF18" s="2" t="s">
        <v>145</v>
      </c>
      <c r="AG18" s="10">
        <f t="shared" si="6"/>
        <v>2025</v>
      </c>
      <c r="AH18" s="10" t="s">
        <v>139</v>
      </c>
      <c r="AI18" s="10" t="s">
        <v>139</v>
      </c>
      <c r="AJ18" s="14" t="s">
        <v>190</v>
      </c>
      <c r="AK18" s="25" t="s">
        <v>192</v>
      </c>
      <c r="AM18" s="2" t="s">
        <v>348</v>
      </c>
      <c r="AN18" s="2" t="s">
        <v>343</v>
      </c>
      <c r="AO18" s="2" t="s">
        <v>349</v>
      </c>
      <c r="AP18" s="2" t="s">
        <v>350</v>
      </c>
      <c r="AQ18" s="2" t="s">
        <v>351</v>
      </c>
      <c r="AR18" s="2" t="s">
        <v>352</v>
      </c>
      <c r="AS18" s="2" t="s">
        <v>145</v>
      </c>
      <c r="AT18" s="2" t="str">
        <f t="shared" si="7"/>
        <v>01INT001S571054A2025-10-21 00:00:00.0007113-5062.50-7500A</v>
      </c>
      <c r="AU18" s="10">
        <f t="shared" si="8"/>
        <v>2025</v>
      </c>
      <c r="AV18" s="10" t="s">
        <v>139</v>
      </c>
      <c r="AW18" s="10" t="s">
        <v>139</v>
      </c>
      <c r="AX18" s="14" t="s">
        <v>190</v>
      </c>
      <c r="AY18" s="25" t="s">
        <v>192</v>
      </c>
      <c r="BA18" s="2" t="s">
        <v>375</v>
      </c>
      <c r="BB18" s="2" t="s">
        <v>376</v>
      </c>
      <c r="BC18" s="2" t="s">
        <v>344</v>
      </c>
      <c r="BD18" s="2" t="s">
        <v>377</v>
      </c>
      <c r="BE18" s="2" t="s">
        <v>378</v>
      </c>
      <c r="BF18" s="2" t="s">
        <v>364</v>
      </c>
      <c r="BG18" s="2" t="s">
        <v>145</v>
      </c>
      <c r="BH18" s="2" t="str">
        <f>BA18&amp;BB18&amp;BC18&amp;BD18&amp;BE18&amp;BF18&amp;BG18</f>
        <v>031S571057A2025-09-19 00:00:00.0006963-5500.00-10000A</v>
      </c>
      <c r="BI18" s="10">
        <f>YEAR(BC18)</f>
        <v>2025</v>
      </c>
      <c r="BJ18" s="2" t="s">
        <v>139</v>
      </c>
      <c r="BK18" s="2" t="s">
        <v>139</v>
      </c>
      <c r="BL18" s="14" t="s">
        <v>190</v>
      </c>
      <c r="BM18" s="25" t="s">
        <v>192</v>
      </c>
      <c r="BN18" s="7" t="s">
        <v>193</v>
      </c>
    </row>
    <row r="19" spans="1:66" x14ac:dyDescent="0.25">
      <c r="B19" s="2" t="s">
        <v>379</v>
      </c>
      <c r="C19" s="2" t="s">
        <v>376</v>
      </c>
      <c r="D19" s="2" t="s">
        <v>349</v>
      </c>
      <c r="E19" s="2" t="s">
        <v>380</v>
      </c>
      <c r="F19" s="2" t="s">
        <v>381</v>
      </c>
      <c r="G19" s="7" t="s">
        <v>391</v>
      </c>
      <c r="H19" s="27" t="s">
        <v>190</v>
      </c>
      <c r="I19" s="27" t="s">
        <v>192</v>
      </c>
      <c r="K19" s="2" t="s">
        <v>348</v>
      </c>
      <c r="L19" s="2" t="s">
        <v>343</v>
      </c>
      <c r="M19" s="2" t="s">
        <v>353</v>
      </c>
      <c r="N19" s="2" t="s">
        <v>354</v>
      </c>
      <c r="O19" s="2" t="s">
        <v>355</v>
      </c>
      <c r="P19" s="2" t="s">
        <v>356</v>
      </c>
      <c r="Q19" s="2" t="s">
        <v>145</v>
      </c>
      <c r="R19" s="10">
        <f t="shared" si="5"/>
        <v>2025</v>
      </c>
      <c r="S19" s="23"/>
      <c r="T19" s="10" t="s">
        <v>139</v>
      </c>
      <c r="U19" s="10" t="s">
        <v>139</v>
      </c>
      <c r="V19" s="14" t="s">
        <v>190</v>
      </c>
      <c r="W19" s="25" t="s">
        <v>192</v>
      </c>
      <c r="Z19" s="2" t="s">
        <v>348</v>
      </c>
      <c r="AA19" s="2" t="s">
        <v>343</v>
      </c>
      <c r="AB19" s="2" t="s">
        <v>353</v>
      </c>
      <c r="AC19" s="2" t="s">
        <v>354</v>
      </c>
      <c r="AD19" s="2" t="s">
        <v>355</v>
      </c>
      <c r="AE19" s="2" t="s">
        <v>356</v>
      </c>
      <c r="AF19" s="2" t="s">
        <v>145</v>
      </c>
      <c r="AG19" s="10">
        <f t="shared" si="6"/>
        <v>2025</v>
      </c>
      <c r="AH19" s="10" t="s">
        <v>139</v>
      </c>
      <c r="AI19" s="10" t="s">
        <v>139</v>
      </c>
      <c r="AJ19" s="14" t="s">
        <v>190</v>
      </c>
      <c r="AK19" s="25" t="s">
        <v>192</v>
      </c>
      <c r="AM19" s="2" t="s">
        <v>348</v>
      </c>
      <c r="AN19" s="2" t="s">
        <v>343</v>
      </c>
      <c r="AO19" s="2" t="s">
        <v>353</v>
      </c>
      <c r="AP19" s="2" t="s">
        <v>354</v>
      </c>
      <c r="AQ19" s="2" t="s">
        <v>355</v>
      </c>
      <c r="AR19" s="2" t="s">
        <v>356</v>
      </c>
      <c r="AS19" s="2" t="s">
        <v>145</v>
      </c>
      <c r="AT19" s="2" t="str">
        <f t="shared" si="7"/>
        <v>01INT001S571054A2025-11-20 00:00:00.0005184-17223.50-25900A</v>
      </c>
      <c r="AU19" s="10">
        <f t="shared" si="8"/>
        <v>2025</v>
      </c>
      <c r="AV19" s="10" t="s">
        <v>139</v>
      </c>
      <c r="AW19" s="10" t="s">
        <v>139</v>
      </c>
      <c r="AX19" s="14" t="s">
        <v>190</v>
      </c>
      <c r="AY19" s="25" t="s">
        <v>192</v>
      </c>
      <c r="BA19" s="2" t="s">
        <v>379</v>
      </c>
      <c r="BB19" s="2" t="s">
        <v>376</v>
      </c>
      <c r="BC19" s="2" t="s">
        <v>349</v>
      </c>
      <c r="BD19" s="2" t="s">
        <v>380</v>
      </c>
      <c r="BE19" s="2" t="s">
        <v>381</v>
      </c>
      <c r="BF19" s="2" t="s">
        <v>382</v>
      </c>
      <c r="BG19" s="2" t="s">
        <v>145</v>
      </c>
      <c r="BH19" s="2" t="str">
        <f>BA19&amp;BB19&amp;BC19&amp;BD19&amp;BE19&amp;BF19&amp;BG19</f>
        <v>068S571057A2025-10-21 00:00:00.0007139-4393.50-30300A</v>
      </c>
      <c r="BI19" s="10">
        <f>YEAR(BC19)</f>
        <v>2025</v>
      </c>
      <c r="BJ19" s="2" t="s">
        <v>139</v>
      </c>
      <c r="BK19" s="2" t="s">
        <v>139</v>
      </c>
      <c r="BL19" s="14" t="s">
        <v>190</v>
      </c>
      <c r="BM19" s="25" t="s">
        <v>192</v>
      </c>
      <c r="BN19" s="7" t="s">
        <v>193</v>
      </c>
    </row>
    <row r="20" spans="1:66" x14ac:dyDescent="0.25">
      <c r="K20" s="2" t="s">
        <v>357</v>
      </c>
      <c r="L20" s="2" t="s">
        <v>358</v>
      </c>
      <c r="M20" s="2" t="s">
        <v>344</v>
      </c>
      <c r="N20" s="2" t="s">
        <v>359</v>
      </c>
      <c r="O20" s="2" t="s">
        <v>360</v>
      </c>
      <c r="P20" s="2" t="s">
        <v>361</v>
      </c>
      <c r="Q20" s="2" t="s">
        <v>145</v>
      </c>
      <c r="R20" s="10">
        <f t="shared" si="5"/>
        <v>2025</v>
      </c>
      <c r="S20" s="23"/>
      <c r="T20" s="10" t="s">
        <v>139</v>
      </c>
      <c r="U20" s="10" t="s">
        <v>139</v>
      </c>
      <c r="V20" s="14" t="s">
        <v>190</v>
      </c>
      <c r="W20" s="25" t="s">
        <v>192</v>
      </c>
      <c r="Z20" s="2" t="s">
        <v>357</v>
      </c>
      <c r="AA20" s="2" t="s">
        <v>358</v>
      </c>
      <c r="AB20" s="2" t="s">
        <v>344</v>
      </c>
      <c r="AC20" s="2" t="s">
        <v>359</v>
      </c>
      <c r="AD20" s="2" t="s">
        <v>360</v>
      </c>
      <c r="AE20" s="2" t="s">
        <v>361</v>
      </c>
      <c r="AF20" s="2" t="s">
        <v>145</v>
      </c>
      <c r="AG20" s="10">
        <f t="shared" si="6"/>
        <v>2025</v>
      </c>
      <c r="AH20" s="10" t="s">
        <v>139</v>
      </c>
      <c r="AI20" s="10" t="s">
        <v>139</v>
      </c>
      <c r="AJ20" s="14" t="s">
        <v>190</v>
      </c>
      <c r="AK20" s="25" t="s">
        <v>192</v>
      </c>
      <c r="AM20" s="2" t="s">
        <v>357</v>
      </c>
      <c r="AN20" s="2" t="s">
        <v>358</v>
      </c>
      <c r="AO20" s="2" t="s">
        <v>344</v>
      </c>
      <c r="AP20" s="2" t="s">
        <v>359</v>
      </c>
      <c r="AQ20" s="2" t="s">
        <v>360</v>
      </c>
      <c r="AR20" s="2" t="s">
        <v>361</v>
      </c>
      <c r="AS20" s="2" t="s">
        <v>145</v>
      </c>
      <c r="AT20" s="2" t="str">
        <f t="shared" si="7"/>
        <v>058S571055A2025-09-19 00:00:00.0007250-6969.00-13800A</v>
      </c>
      <c r="AU20" s="10">
        <f t="shared" si="8"/>
        <v>2025</v>
      </c>
      <c r="AV20" s="10" t="s">
        <v>139</v>
      </c>
      <c r="AW20" s="10" t="s">
        <v>139</v>
      </c>
      <c r="AX20" s="14" t="s">
        <v>190</v>
      </c>
      <c r="AY20" s="25" t="s">
        <v>192</v>
      </c>
      <c r="BH20" s="2" t="str">
        <f t="shared" ref="BH20:BH27" si="9">BA20&amp;BB20&amp;BC20&amp;BD20&amp;BE20&amp;BF20&amp;BG20</f>
        <v/>
      </c>
    </row>
    <row r="21" spans="1:66" x14ac:dyDescent="0.25">
      <c r="K21" s="2" t="s">
        <v>348</v>
      </c>
      <c r="L21" s="2" t="s">
        <v>358</v>
      </c>
      <c r="M21" s="2" t="s">
        <v>349</v>
      </c>
      <c r="N21" s="2" t="s">
        <v>362</v>
      </c>
      <c r="O21" s="2" t="s">
        <v>363</v>
      </c>
      <c r="P21" s="2" t="s">
        <v>364</v>
      </c>
      <c r="Q21" s="2" t="s">
        <v>145</v>
      </c>
      <c r="R21" s="10">
        <f t="shared" si="5"/>
        <v>2025</v>
      </c>
      <c r="S21" s="23"/>
      <c r="T21" s="10" t="s">
        <v>139</v>
      </c>
      <c r="U21" s="10" t="s">
        <v>139</v>
      </c>
      <c r="V21" s="14" t="s">
        <v>190</v>
      </c>
      <c r="W21" s="25" t="s">
        <v>192</v>
      </c>
      <c r="Z21" s="2" t="s">
        <v>348</v>
      </c>
      <c r="AA21" s="2" t="s">
        <v>358</v>
      </c>
      <c r="AB21" s="2" t="s">
        <v>349</v>
      </c>
      <c r="AC21" s="2" t="s">
        <v>362</v>
      </c>
      <c r="AD21" s="2" t="s">
        <v>363</v>
      </c>
      <c r="AE21" s="2" t="s">
        <v>364</v>
      </c>
      <c r="AF21" s="2" t="s">
        <v>145</v>
      </c>
      <c r="AG21" s="10">
        <f t="shared" si="6"/>
        <v>2025</v>
      </c>
      <c r="AH21" s="10" t="s">
        <v>139</v>
      </c>
      <c r="AI21" s="10" t="s">
        <v>139</v>
      </c>
      <c r="AJ21" s="14" t="s">
        <v>190</v>
      </c>
      <c r="AK21" s="25" t="s">
        <v>192</v>
      </c>
      <c r="AM21" s="2" t="s">
        <v>348</v>
      </c>
      <c r="AN21" s="2" t="s">
        <v>358</v>
      </c>
      <c r="AO21" s="2" t="s">
        <v>349</v>
      </c>
      <c r="AP21" s="2" t="s">
        <v>362</v>
      </c>
      <c r="AQ21" s="2" t="s">
        <v>363</v>
      </c>
      <c r="AR21" s="2" t="s">
        <v>364</v>
      </c>
      <c r="AS21" s="2" t="s">
        <v>145</v>
      </c>
      <c r="AT21" s="2" t="str">
        <f t="shared" si="7"/>
        <v>01INT001S571055A2025-10-21 00:00:00.0003336-26000.00-10000A</v>
      </c>
      <c r="AU21" s="10">
        <f t="shared" si="8"/>
        <v>2025</v>
      </c>
      <c r="AV21" s="10" t="s">
        <v>139</v>
      </c>
      <c r="AW21" s="10" t="s">
        <v>139</v>
      </c>
      <c r="AX21" s="14" t="s">
        <v>190</v>
      </c>
      <c r="AY21" s="25" t="s">
        <v>192</v>
      </c>
      <c r="BH21" s="2" t="str">
        <f t="shared" si="9"/>
        <v/>
      </c>
    </row>
    <row r="22" spans="1:66" x14ac:dyDescent="0.25">
      <c r="K22" s="2" t="s">
        <v>348</v>
      </c>
      <c r="L22" s="2" t="s">
        <v>358</v>
      </c>
      <c r="M22" s="2" t="s">
        <v>353</v>
      </c>
      <c r="N22" s="2" t="s">
        <v>354</v>
      </c>
      <c r="O22" s="2" t="s">
        <v>365</v>
      </c>
      <c r="P22" s="2" t="s">
        <v>366</v>
      </c>
      <c r="Q22" s="2" t="s">
        <v>145</v>
      </c>
      <c r="R22" s="10">
        <f t="shared" si="5"/>
        <v>2025</v>
      </c>
      <c r="S22" s="23"/>
      <c r="T22" s="10" t="s">
        <v>139</v>
      </c>
      <c r="U22" s="10" t="s">
        <v>139</v>
      </c>
      <c r="V22" s="14" t="s">
        <v>190</v>
      </c>
      <c r="W22" s="25" t="s">
        <v>192</v>
      </c>
      <c r="Z22" s="2" t="s">
        <v>348</v>
      </c>
      <c r="AA22" s="2" t="s">
        <v>358</v>
      </c>
      <c r="AB22" s="2" t="s">
        <v>353</v>
      </c>
      <c r="AC22" s="2" t="s">
        <v>354</v>
      </c>
      <c r="AD22" s="2" t="s">
        <v>365</v>
      </c>
      <c r="AE22" s="2" t="s">
        <v>366</v>
      </c>
      <c r="AF22" s="2" t="s">
        <v>145</v>
      </c>
      <c r="AG22" s="10">
        <f t="shared" si="6"/>
        <v>2025</v>
      </c>
      <c r="AH22" s="10" t="s">
        <v>139</v>
      </c>
      <c r="AI22" s="10" t="s">
        <v>139</v>
      </c>
      <c r="AJ22" s="14" t="s">
        <v>190</v>
      </c>
      <c r="AK22" s="25" t="s">
        <v>192</v>
      </c>
      <c r="AM22" s="2" t="s">
        <v>348</v>
      </c>
      <c r="AN22" s="2" t="s">
        <v>358</v>
      </c>
      <c r="AO22" s="2" t="s">
        <v>353</v>
      </c>
      <c r="AP22" s="2" t="s">
        <v>354</v>
      </c>
      <c r="AQ22" s="2" t="s">
        <v>365</v>
      </c>
      <c r="AR22" s="2" t="s">
        <v>366</v>
      </c>
      <c r="AS22" s="2" t="s">
        <v>145</v>
      </c>
      <c r="AT22" s="2" t="str">
        <f t="shared" si="7"/>
        <v>01INT001S571055A2025-11-20 00:00:00.0005184-18021.50-27100A</v>
      </c>
      <c r="AU22" s="10">
        <f t="shared" si="8"/>
        <v>2025</v>
      </c>
      <c r="AV22" s="10" t="s">
        <v>139</v>
      </c>
      <c r="AW22" s="10" t="s">
        <v>139</v>
      </c>
      <c r="AX22" s="14" t="s">
        <v>190</v>
      </c>
      <c r="AY22" s="25" t="s">
        <v>192</v>
      </c>
      <c r="BH22" s="2" t="str">
        <f t="shared" si="9"/>
        <v/>
      </c>
    </row>
    <row r="23" spans="1:66" x14ac:dyDescent="0.25">
      <c r="K23" s="2" t="s">
        <v>348</v>
      </c>
      <c r="L23" s="2" t="s">
        <v>367</v>
      </c>
      <c r="M23" s="2" t="s">
        <v>349</v>
      </c>
      <c r="N23" s="2" t="s">
        <v>368</v>
      </c>
      <c r="O23" s="2" t="s">
        <v>369</v>
      </c>
      <c r="P23" s="2" t="s">
        <v>370</v>
      </c>
      <c r="Q23" s="2" t="s">
        <v>145</v>
      </c>
      <c r="R23" s="10">
        <f t="shared" si="5"/>
        <v>2025</v>
      </c>
      <c r="S23" s="23"/>
      <c r="T23" s="10" t="s">
        <v>139</v>
      </c>
      <c r="U23" s="10" t="s">
        <v>139</v>
      </c>
      <c r="V23" s="14" t="s">
        <v>190</v>
      </c>
      <c r="W23" s="25" t="s">
        <v>192</v>
      </c>
      <c r="Z23" s="2" t="s">
        <v>348</v>
      </c>
      <c r="AA23" s="2" t="s">
        <v>367</v>
      </c>
      <c r="AB23" s="2" t="s">
        <v>349</v>
      </c>
      <c r="AC23" s="2" t="s">
        <v>368</v>
      </c>
      <c r="AD23" s="2" t="s">
        <v>369</v>
      </c>
      <c r="AE23" s="2" t="s">
        <v>370</v>
      </c>
      <c r="AF23" s="2" t="s">
        <v>145</v>
      </c>
      <c r="AG23" s="10">
        <f t="shared" si="6"/>
        <v>2025</v>
      </c>
      <c r="AH23" s="10" t="s">
        <v>139</v>
      </c>
      <c r="AI23" s="10" t="s">
        <v>139</v>
      </c>
      <c r="AJ23" s="14" t="s">
        <v>190</v>
      </c>
      <c r="AK23" s="25" t="s">
        <v>192</v>
      </c>
      <c r="AM23" s="2" t="s">
        <v>348</v>
      </c>
      <c r="AN23" s="2" t="s">
        <v>367</v>
      </c>
      <c r="AO23" s="2" t="s">
        <v>349</v>
      </c>
      <c r="AP23" s="2" t="s">
        <v>368</v>
      </c>
      <c r="AQ23" s="2" t="s">
        <v>369</v>
      </c>
      <c r="AR23" s="2" t="s">
        <v>370</v>
      </c>
      <c r="AS23" s="2" t="s">
        <v>145</v>
      </c>
      <c r="AT23" s="2" t="str">
        <f t="shared" si="7"/>
        <v>01INT001S571056A2025-10-21 00:00:00.0000225-19646.00-9400A</v>
      </c>
      <c r="AU23" s="10">
        <f t="shared" si="8"/>
        <v>2025</v>
      </c>
      <c r="AV23" s="10" t="s">
        <v>139</v>
      </c>
      <c r="AW23" s="10" t="s">
        <v>139</v>
      </c>
      <c r="AX23" s="14" t="s">
        <v>190</v>
      </c>
      <c r="AY23" s="25" t="s">
        <v>192</v>
      </c>
      <c r="BH23" s="2" t="str">
        <f t="shared" si="9"/>
        <v/>
      </c>
    </row>
    <row r="24" spans="1:66" x14ac:dyDescent="0.25">
      <c r="K24" s="2" t="s">
        <v>371</v>
      </c>
      <c r="L24" s="2" t="s">
        <v>367</v>
      </c>
      <c r="M24" s="2" t="s">
        <v>353</v>
      </c>
      <c r="N24" s="2" t="s">
        <v>372</v>
      </c>
      <c r="O24" s="2" t="s">
        <v>373</v>
      </c>
      <c r="P24" s="2" t="s">
        <v>374</v>
      </c>
      <c r="Q24" s="2" t="s">
        <v>145</v>
      </c>
      <c r="R24" s="10">
        <f t="shared" si="5"/>
        <v>2025</v>
      </c>
      <c r="S24" s="23"/>
      <c r="T24" s="10" t="s">
        <v>139</v>
      </c>
      <c r="U24" s="10" t="s">
        <v>139</v>
      </c>
      <c r="V24" s="14" t="s">
        <v>190</v>
      </c>
      <c r="W24" s="25" t="s">
        <v>192</v>
      </c>
      <c r="Z24" s="2" t="s">
        <v>371</v>
      </c>
      <c r="AA24" s="2" t="s">
        <v>367</v>
      </c>
      <c r="AB24" s="2" t="s">
        <v>353</v>
      </c>
      <c r="AC24" s="2" t="s">
        <v>372</v>
      </c>
      <c r="AD24" s="2" t="s">
        <v>373</v>
      </c>
      <c r="AE24" s="2" t="s">
        <v>374</v>
      </c>
      <c r="AF24" s="2" t="s">
        <v>145</v>
      </c>
      <c r="AG24" s="10">
        <f t="shared" si="6"/>
        <v>2025</v>
      </c>
      <c r="AH24" s="10" t="s">
        <v>139</v>
      </c>
      <c r="AI24" s="10" t="s">
        <v>139</v>
      </c>
      <c r="AJ24" s="14" t="s">
        <v>190</v>
      </c>
      <c r="AK24" s="25" t="s">
        <v>192</v>
      </c>
      <c r="AM24" s="2" t="s">
        <v>371</v>
      </c>
      <c r="AN24" s="2" t="s">
        <v>367</v>
      </c>
      <c r="AO24" s="2" t="s">
        <v>353</v>
      </c>
      <c r="AP24" s="2" t="s">
        <v>372</v>
      </c>
      <c r="AQ24" s="2" t="s">
        <v>373</v>
      </c>
      <c r="AR24" s="2" t="s">
        <v>374</v>
      </c>
      <c r="AS24" s="2" t="s">
        <v>145</v>
      </c>
      <c r="AT24" s="2" t="str">
        <f t="shared" si="7"/>
        <v>CLR001671S571056A2025-11-20 00:00:00.0005216-2888.00-7600A</v>
      </c>
      <c r="AU24" s="10">
        <f t="shared" si="8"/>
        <v>2025</v>
      </c>
      <c r="AV24" s="10" t="s">
        <v>139</v>
      </c>
      <c r="AW24" s="10" t="s">
        <v>139</v>
      </c>
      <c r="AX24" s="14" t="s">
        <v>190</v>
      </c>
      <c r="AY24" s="25" t="s">
        <v>192</v>
      </c>
      <c r="BH24" s="2" t="str">
        <f t="shared" si="9"/>
        <v/>
      </c>
    </row>
    <row r="25" spans="1:66" x14ac:dyDescent="0.25">
      <c r="K25" s="2" t="s">
        <v>375</v>
      </c>
      <c r="L25" s="2" t="s">
        <v>376</v>
      </c>
      <c r="M25" s="2" t="s">
        <v>344</v>
      </c>
      <c r="N25" s="2" t="s">
        <v>377</v>
      </c>
      <c r="O25" s="7" t="s">
        <v>390</v>
      </c>
      <c r="P25" s="2" t="s">
        <v>364</v>
      </c>
      <c r="Q25" s="2" t="s">
        <v>145</v>
      </c>
      <c r="R25" s="10">
        <f t="shared" si="5"/>
        <v>2025</v>
      </c>
      <c r="S25" s="23"/>
      <c r="T25" s="10" t="s">
        <v>139</v>
      </c>
      <c r="U25" s="14" t="s">
        <v>190</v>
      </c>
      <c r="V25" s="14" t="s">
        <v>190</v>
      </c>
      <c r="W25" s="25" t="s">
        <v>192</v>
      </c>
      <c r="Z25" s="2" t="s">
        <v>375</v>
      </c>
      <c r="AA25" s="2" t="s">
        <v>376</v>
      </c>
      <c r="AB25" s="2" t="s">
        <v>344</v>
      </c>
      <c r="AC25" s="2" t="s">
        <v>377</v>
      </c>
      <c r="AD25" s="7" t="s">
        <v>390</v>
      </c>
      <c r="AE25" s="2" t="s">
        <v>364</v>
      </c>
      <c r="AF25" s="2" t="s">
        <v>145</v>
      </c>
      <c r="AG25" s="10">
        <f t="shared" si="6"/>
        <v>2025</v>
      </c>
      <c r="AH25" s="10" t="s">
        <v>139</v>
      </c>
      <c r="AI25" s="14" t="s">
        <v>190</v>
      </c>
      <c r="AJ25" s="14" t="s">
        <v>190</v>
      </c>
      <c r="AK25" s="25" t="s">
        <v>192</v>
      </c>
      <c r="AM25" s="2" t="s">
        <v>375</v>
      </c>
      <c r="AN25" s="2" t="s">
        <v>376</v>
      </c>
      <c r="AO25" s="2" t="s">
        <v>344</v>
      </c>
      <c r="AP25" s="2" t="s">
        <v>377</v>
      </c>
      <c r="AQ25" s="7" t="s">
        <v>390</v>
      </c>
      <c r="AR25" s="2" t="s">
        <v>364</v>
      </c>
      <c r="AS25" s="2" t="s">
        <v>145</v>
      </c>
      <c r="AT25" s="2" t="str">
        <f t="shared" si="7"/>
        <v>031S571057A2025-09-19 00:00:00.0006963-6500.00-10000A</v>
      </c>
      <c r="AU25" s="10">
        <f t="shared" si="8"/>
        <v>2025</v>
      </c>
      <c r="AV25" s="10" t="s">
        <v>139</v>
      </c>
      <c r="AW25" s="14" t="s">
        <v>190</v>
      </c>
      <c r="AX25" s="14" t="s">
        <v>190</v>
      </c>
      <c r="AY25" s="25" t="s">
        <v>192</v>
      </c>
      <c r="BH25" s="2" t="str">
        <f t="shared" si="9"/>
        <v/>
      </c>
    </row>
    <row r="26" spans="1:66" x14ac:dyDescent="0.25">
      <c r="K26" s="2" t="s">
        <v>379</v>
      </c>
      <c r="L26" s="2" t="s">
        <v>376</v>
      </c>
      <c r="M26" s="2" t="s">
        <v>349</v>
      </c>
      <c r="N26" s="2" t="s">
        <v>380</v>
      </c>
      <c r="O26" s="2" t="s">
        <v>381</v>
      </c>
      <c r="P26" s="7" t="s">
        <v>391</v>
      </c>
      <c r="Q26" s="2" t="s">
        <v>145</v>
      </c>
      <c r="R26" s="10">
        <f t="shared" si="5"/>
        <v>2025</v>
      </c>
      <c r="S26" s="23"/>
      <c r="T26" s="10" t="s">
        <v>139</v>
      </c>
      <c r="U26" s="14" t="s">
        <v>190</v>
      </c>
      <c r="V26" s="14" t="s">
        <v>190</v>
      </c>
      <c r="W26" s="25" t="s">
        <v>192</v>
      </c>
      <c r="Z26" s="2" t="s">
        <v>379</v>
      </c>
      <c r="AA26" s="2" t="s">
        <v>376</v>
      </c>
      <c r="AB26" s="2" t="s">
        <v>349</v>
      </c>
      <c r="AC26" s="2" t="s">
        <v>380</v>
      </c>
      <c r="AD26" s="2" t="s">
        <v>381</v>
      </c>
      <c r="AE26" s="7" t="s">
        <v>391</v>
      </c>
      <c r="AF26" s="2" t="s">
        <v>145</v>
      </c>
      <c r="AG26" s="10">
        <f t="shared" si="6"/>
        <v>2025</v>
      </c>
      <c r="AH26" s="10" t="s">
        <v>139</v>
      </c>
      <c r="AI26" s="14" t="s">
        <v>190</v>
      </c>
      <c r="AJ26" s="14" t="s">
        <v>190</v>
      </c>
      <c r="AK26" s="25" t="s">
        <v>192</v>
      </c>
      <c r="AM26" s="2" t="s">
        <v>379</v>
      </c>
      <c r="AN26" s="2" t="s">
        <v>376</v>
      </c>
      <c r="AO26" s="2" t="s">
        <v>349</v>
      </c>
      <c r="AP26" s="2" t="s">
        <v>380</v>
      </c>
      <c r="AQ26" s="2" t="s">
        <v>381</v>
      </c>
      <c r="AR26" s="7" t="s">
        <v>391</v>
      </c>
      <c r="AS26" s="2" t="s">
        <v>145</v>
      </c>
      <c r="AT26" s="2" t="str">
        <f t="shared" si="7"/>
        <v>068S571057A2025-10-21 00:00:00.0007139-4393.50-30000A</v>
      </c>
      <c r="AU26" s="10">
        <f t="shared" si="8"/>
        <v>2025</v>
      </c>
      <c r="AV26" s="10" t="s">
        <v>139</v>
      </c>
      <c r="AW26" s="14" t="s">
        <v>190</v>
      </c>
      <c r="AX26" s="14" t="s">
        <v>190</v>
      </c>
      <c r="AY26" s="25" t="s">
        <v>192</v>
      </c>
      <c r="BH26" s="2" t="str">
        <f t="shared" si="9"/>
        <v/>
      </c>
    </row>
    <row r="27" spans="1:66" x14ac:dyDescent="0.25">
      <c r="K27" s="7" t="s">
        <v>384</v>
      </c>
      <c r="L27" s="7" t="s">
        <v>376</v>
      </c>
      <c r="M27" s="7" t="s">
        <v>353</v>
      </c>
      <c r="N27" s="7" t="s">
        <v>354</v>
      </c>
      <c r="O27" s="7" t="s">
        <v>385</v>
      </c>
      <c r="P27" s="7" t="s">
        <v>386</v>
      </c>
      <c r="Q27" s="7" t="s">
        <v>145</v>
      </c>
      <c r="R27" s="14">
        <f t="shared" si="5"/>
        <v>2025</v>
      </c>
      <c r="S27" s="7"/>
      <c r="T27" s="14" t="s">
        <v>190</v>
      </c>
      <c r="U27" s="14" t="s">
        <v>190</v>
      </c>
      <c r="V27" s="14" t="s">
        <v>190</v>
      </c>
      <c r="W27" s="25" t="s">
        <v>192</v>
      </c>
      <c r="Z27" s="7" t="s">
        <v>384</v>
      </c>
      <c r="AA27" s="7" t="s">
        <v>376</v>
      </c>
      <c r="AB27" s="7" t="s">
        <v>353</v>
      </c>
      <c r="AC27" s="7" t="s">
        <v>354</v>
      </c>
      <c r="AD27" s="7" t="s">
        <v>385</v>
      </c>
      <c r="AE27" s="7" t="s">
        <v>386</v>
      </c>
      <c r="AF27" s="7" t="s">
        <v>145</v>
      </c>
      <c r="AG27" s="14">
        <f t="shared" si="6"/>
        <v>2025</v>
      </c>
      <c r="AH27" s="14" t="s">
        <v>190</v>
      </c>
      <c r="AI27" s="14" t="s">
        <v>190</v>
      </c>
      <c r="AJ27" s="14" t="s">
        <v>190</v>
      </c>
      <c r="AK27" s="25" t="s">
        <v>192</v>
      </c>
      <c r="AM27" s="7" t="s">
        <v>384</v>
      </c>
      <c r="AN27" s="7" t="s">
        <v>376</v>
      </c>
      <c r="AO27" s="7" t="s">
        <v>353</v>
      </c>
      <c r="AP27" s="7" t="s">
        <v>354</v>
      </c>
      <c r="AQ27" s="7" t="s">
        <v>385</v>
      </c>
      <c r="AR27" s="7" t="s">
        <v>386</v>
      </c>
      <c r="AS27" s="7" t="s">
        <v>145</v>
      </c>
      <c r="AT27" s="2" t="str">
        <f t="shared" si="7"/>
        <v>065S571057A2025-11-20 00:00:00.0005184-66.50-100A</v>
      </c>
      <c r="AU27" s="14">
        <f t="shared" si="8"/>
        <v>2025</v>
      </c>
      <c r="AV27" s="14" t="s">
        <v>190</v>
      </c>
      <c r="AW27" s="14" t="s">
        <v>190</v>
      </c>
      <c r="AX27" s="14" t="s">
        <v>190</v>
      </c>
      <c r="AY27" s="25" t="s">
        <v>192</v>
      </c>
      <c r="BH27" s="2" t="str">
        <f t="shared" si="9"/>
        <v/>
      </c>
    </row>
    <row r="29" spans="1:66" x14ac:dyDescent="0.25">
      <c r="AG29" s="10"/>
      <c r="AH29" s="10"/>
      <c r="AI29" s="10"/>
      <c r="AJ29" s="14"/>
      <c r="AK29" s="14"/>
      <c r="AV29" s="10"/>
      <c r="AW29" s="10"/>
      <c r="AX29" s="14"/>
      <c r="AY29" s="14"/>
    </row>
    <row r="30" spans="1:66" x14ac:dyDescent="0.25">
      <c r="AG30" s="10"/>
      <c r="AH30" s="10"/>
      <c r="AI30" s="10"/>
      <c r="AJ30" s="14"/>
      <c r="AK30" s="14"/>
      <c r="AV30" s="10"/>
      <c r="AW30" s="10"/>
      <c r="AX30" s="14"/>
      <c r="AY30" s="14"/>
    </row>
    <row r="31" spans="1:66" x14ac:dyDescent="0.25">
      <c r="AG31" s="10"/>
      <c r="AH31" s="10"/>
      <c r="AI31" s="10"/>
      <c r="AJ31" s="14"/>
      <c r="AK31" s="14"/>
      <c r="AV31" s="10"/>
      <c r="AW31" s="10"/>
      <c r="AX31" s="14"/>
      <c r="AY31" s="14"/>
    </row>
    <row r="32" spans="1:66" x14ac:dyDescent="0.25">
      <c r="AG32" s="10"/>
      <c r="AH32" s="10"/>
      <c r="AI32" s="10"/>
      <c r="AJ32" s="14"/>
      <c r="AK32" s="14"/>
      <c r="AV32" s="10"/>
      <c r="AW32" s="10"/>
      <c r="AX32" s="14"/>
      <c r="AY32" s="14"/>
    </row>
    <row r="33" spans="26:51" x14ac:dyDescent="0.25">
      <c r="AG33" s="10"/>
      <c r="AH33" s="10"/>
      <c r="AI33" s="10"/>
      <c r="AJ33" s="14"/>
      <c r="AK33" s="14"/>
      <c r="AV33" s="10"/>
      <c r="AW33" s="10"/>
      <c r="AX33" s="14"/>
      <c r="AY33" s="14"/>
    </row>
    <row r="34" spans="26:51" x14ac:dyDescent="0.25">
      <c r="AD34" s="7"/>
      <c r="AG34" s="10"/>
      <c r="AH34" s="10"/>
      <c r="AI34" s="10"/>
      <c r="AJ34" s="14"/>
      <c r="AK34" s="14"/>
      <c r="AV34" s="10"/>
      <c r="AW34" s="10"/>
      <c r="AX34" s="14"/>
      <c r="AY34" s="14"/>
    </row>
    <row r="35" spans="26:51" x14ac:dyDescent="0.25">
      <c r="AE35" s="7"/>
      <c r="AG35" s="10"/>
      <c r="AH35" s="10"/>
      <c r="AI35" s="10"/>
      <c r="AJ35" s="14"/>
      <c r="AK35" s="14"/>
      <c r="AV35" s="10"/>
      <c r="AW35" s="10"/>
      <c r="AX35" s="14"/>
      <c r="AY35" s="14"/>
    </row>
    <row r="36" spans="26:51" x14ac:dyDescent="0.25">
      <c r="Z36" s="7"/>
      <c r="AA36" s="7"/>
      <c r="AB36" s="7"/>
      <c r="AC36" s="7"/>
      <c r="AD36" s="7"/>
      <c r="AE36" s="7"/>
      <c r="AF36" s="7"/>
      <c r="AG36" s="14"/>
      <c r="AH36" s="14"/>
      <c r="AI36" s="14"/>
      <c r="AJ36" s="14"/>
      <c r="AK36" s="14"/>
      <c r="AV36" s="14"/>
      <c r="AW36" s="14"/>
      <c r="AX36" s="14"/>
      <c r="AY36" s="14"/>
    </row>
  </sheetData>
  <mergeCells count="4">
    <mergeCell ref="V4:W4"/>
    <mergeCell ref="AJ4:AK4"/>
    <mergeCell ref="AX4:AY4"/>
    <mergeCell ref="BA4:BK4"/>
  </mergeCells>
  <conditionalFormatting sqref="AT6:AT15 AT17:AT27">
    <cfRule type="uniqueValues" dxfId="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DB557-DEF9-4F50-A61F-DD20B1C2E203}">
  <dimension ref="A2:AW149"/>
  <sheetViews>
    <sheetView tabSelected="1" topLeftCell="AG1" zoomScale="85" zoomScaleNormal="85" workbookViewId="0">
      <pane ySplit="5" topLeftCell="A51" activePane="bottomLeft" state="frozen"/>
      <selection pane="bottomLeft" activeCell="AP63" sqref="AP63"/>
    </sheetView>
  </sheetViews>
  <sheetFormatPr defaultColWidth="8.85546875" defaultRowHeight="15" x14ac:dyDescent="0.25"/>
  <cols>
    <col min="1" max="1" width="28.7109375" style="2" bestFit="1" customWidth="1"/>
    <col min="2" max="3" width="11.42578125" style="2" bestFit="1" customWidth="1"/>
    <col min="4" max="4" width="22.42578125" style="2" bestFit="1" customWidth="1"/>
    <col min="5" max="5" width="9.42578125" style="2" bestFit="1" customWidth="1"/>
    <col min="6" max="6" width="22.42578125" style="2" bestFit="1" customWidth="1"/>
    <col min="7" max="8" width="22.42578125" style="2" customWidth="1"/>
    <col min="9" max="9" width="12.7109375" style="2" bestFit="1" customWidth="1"/>
    <col min="10" max="10" width="18.28515625" style="2" customWidth="1"/>
    <col min="11" max="11" width="21.5703125" style="2" customWidth="1"/>
    <col min="12" max="12" width="3.85546875" style="40" customWidth="1"/>
    <col min="13" max="13" width="14.85546875" style="2" customWidth="1"/>
    <col min="14" max="14" width="11.42578125" style="2" bestFit="1" customWidth="1"/>
    <col min="15" max="15" width="22.42578125" style="2" bestFit="1" customWidth="1"/>
    <col min="16" max="16" width="9.42578125" style="2" bestFit="1" customWidth="1"/>
    <col min="17" max="17" width="22.42578125" style="2" bestFit="1" customWidth="1"/>
    <col min="18" max="18" width="14" style="2" bestFit="1" customWidth="1"/>
    <col min="19" max="19" width="13.7109375" style="10" bestFit="1" customWidth="1"/>
    <col min="20" max="20" width="19.42578125" style="2" customWidth="1"/>
    <col min="21" max="22" width="19.85546875" style="10" customWidth="1"/>
    <col min="23" max="23" width="7.28515625" style="10" bestFit="1" customWidth="1"/>
    <col min="24" max="24" width="14.28515625" style="10" bestFit="1" customWidth="1"/>
    <col min="25" max="25" width="15.7109375" style="2" customWidth="1"/>
    <col min="26" max="26" width="3.85546875" style="40" customWidth="1"/>
    <col min="27" max="27" width="12.42578125" style="2" bestFit="1" customWidth="1"/>
    <col min="28" max="28" width="11.42578125" style="2" bestFit="1" customWidth="1"/>
    <col min="29" max="29" width="22.42578125" style="2" bestFit="1" customWidth="1"/>
    <col min="30" max="30" width="9.42578125" style="2" bestFit="1" customWidth="1"/>
    <col min="31" max="31" width="22.42578125" style="2" bestFit="1" customWidth="1"/>
    <col min="32" max="32" width="14" style="2" bestFit="1" customWidth="1"/>
    <col min="33" max="33" width="13.7109375" style="2" bestFit="1" customWidth="1"/>
    <col min="34" max="35" width="21.28515625" style="2" customWidth="1"/>
    <col min="36" max="36" width="8.7109375" style="2" customWidth="1"/>
    <col min="37" max="37" width="16.7109375" style="2" customWidth="1"/>
    <col min="38" max="38" width="3.85546875" style="40" customWidth="1"/>
    <col min="39" max="39" width="12.42578125" style="2" bestFit="1" customWidth="1"/>
    <col min="40" max="40" width="11.42578125" style="2" bestFit="1" customWidth="1"/>
    <col min="41" max="41" width="22.42578125" style="2" bestFit="1" customWidth="1"/>
    <col min="42" max="42" width="9.42578125" style="2" bestFit="1" customWidth="1"/>
    <col min="43" max="43" width="22.42578125" style="2" bestFit="1" customWidth="1"/>
    <col min="44" max="44" width="13.7109375" style="2" bestFit="1" customWidth="1"/>
    <col min="45" max="46" width="21.28515625" style="2" customWidth="1"/>
    <col min="47" max="47" width="7.28515625" style="2" bestFit="1" customWidth="1"/>
    <col min="48" max="48" width="16.42578125" style="2" customWidth="1"/>
    <col min="49" max="49" width="7.28515625" style="2" customWidth="1"/>
    <col min="50" max="16384" width="8.85546875" style="2"/>
  </cols>
  <sheetData>
    <row r="2" spans="1:49" s="3" customFormat="1" x14ac:dyDescent="0.25">
      <c r="A2" s="3" t="s">
        <v>392</v>
      </c>
      <c r="L2" s="39"/>
      <c r="S2" s="11"/>
      <c r="U2" s="11"/>
      <c r="V2" s="11"/>
      <c r="W2" s="11"/>
      <c r="X2" s="11"/>
      <c r="Z2" s="39"/>
      <c r="AL2" s="39"/>
    </row>
    <row r="3" spans="1:49" s="1" customFormat="1" x14ac:dyDescent="0.25">
      <c r="A3" s="1" t="s">
        <v>393</v>
      </c>
      <c r="B3" s="1" t="s">
        <v>394</v>
      </c>
      <c r="L3" s="39"/>
      <c r="M3" s="1" t="s">
        <v>58</v>
      </c>
      <c r="W3" s="12"/>
      <c r="X3" s="12"/>
      <c r="Z3" s="39"/>
      <c r="AA3" s="1" t="s">
        <v>35</v>
      </c>
      <c r="AJ3" s="12"/>
      <c r="AK3" s="12"/>
      <c r="AL3" s="39"/>
      <c r="AM3" s="1" t="s">
        <v>43</v>
      </c>
      <c r="AR3" s="12"/>
      <c r="AV3" s="12"/>
    </row>
    <row r="4" spans="1:49" s="1" customFormat="1" ht="90" x14ac:dyDescent="0.25">
      <c r="G4" s="26" t="s">
        <v>121</v>
      </c>
      <c r="H4" s="26" t="s">
        <v>122</v>
      </c>
      <c r="I4" s="1" t="s">
        <v>118</v>
      </c>
      <c r="L4" s="39"/>
      <c r="S4" s="12" t="s">
        <v>118</v>
      </c>
      <c r="T4" s="26" t="s">
        <v>248</v>
      </c>
      <c r="U4" s="26" t="s">
        <v>121</v>
      </c>
      <c r="V4" s="26" t="s">
        <v>122</v>
      </c>
      <c r="W4" s="12"/>
      <c r="X4" s="12"/>
      <c r="Z4" s="39"/>
      <c r="AG4" s="12" t="s">
        <v>118</v>
      </c>
      <c r="AH4" s="26" t="s">
        <v>121</v>
      </c>
      <c r="AI4" s="26" t="s">
        <v>122</v>
      </c>
      <c r="AJ4" s="12"/>
      <c r="AK4" s="12"/>
      <c r="AL4" s="39"/>
      <c r="AR4" s="12" t="s">
        <v>118</v>
      </c>
      <c r="AS4" s="26" t="s">
        <v>121</v>
      </c>
      <c r="AT4" s="26" t="s">
        <v>122</v>
      </c>
      <c r="AU4" s="12"/>
      <c r="AV4" s="12"/>
    </row>
    <row r="5" spans="1:49" s="1" customFormat="1" x14ac:dyDescent="0.25">
      <c r="A5" s="44" t="s">
        <v>393</v>
      </c>
      <c r="B5" s="1" t="s">
        <v>249</v>
      </c>
      <c r="C5" s="1" t="s">
        <v>203</v>
      </c>
      <c r="D5" s="1" t="s">
        <v>395</v>
      </c>
      <c r="E5" s="1" t="s">
        <v>340</v>
      </c>
      <c r="F5" s="1" t="s">
        <v>204</v>
      </c>
      <c r="G5" s="1" t="s">
        <v>135</v>
      </c>
      <c r="H5" s="1" t="s">
        <v>136</v>
      </c>
      <c r="I5" s="1" t="s">
        <v>68</v>
      </c>
      <c r="J5" s="1" t="s">
        <v>133</v>
      </c>
      <c r="L5" s="39"/>
      <c r="M5" s="1" t="s">
        <v>249</v>
      </c>
      <c r="N5" s="1" t="s">
        <v>203</v>
      </c>
      <c r="O5" s="1" t="s">
        <v>395</v>
      </c>
      <c r="P5" s="1" t="s">
        <v>340</v>
      </c>
      <c r="Q5" s="1" t="s">
        <v>204</v>
      </c>
      <c r="R5" s="1" t="s">
        <v>134</v>
      </c>
      <c r="S5" s="1" t="s">
        <v>396</v>
      </c>
      <c r="T5" s="1" t="s">
        <v>258</v>
      </c>
      <c r="U5" s="1" t="s">
        <v>135</v>
      </c>
      <c r="V5" s="1" t="s">
        <v>136</v>
      </c>
      <c r="W5" s="12" t="s">
        <v>68</v>
      </c>
      <c r="X5" s="1" t="s">
        <v>133</v>
      </c>
      <c r="Z5" s="39"/>
      <c r="AA5" s="1" t="s">
        <v>249</v>
      </c>
      <c r="AB5" s="1" t="s">
        <v>203</v>
      </c>
      <c r="AC5" s="1" t="s">
        <v>395</v>
      </c>
      <c r="AD5" s="1" t="s">
        <v>340</v>
      </c>
      <c r="AE5" s="1" t="s">
        <v>204</v>
      </c>
      <c r="AF5" s="1" t="s">
        <v>134</v>
      </c>
      <c r="AG5" s="1" t="s">
        <v>396</v>
      </c>
      <c r="AH5" s="1" t="s">
        <v>135</v>
      </c>
      <c r="AI5" s="1" t="s">
        <v>136</v>
      </c>
      <c r="AJ5" s="12" t="s">
        <v>68</v>
      </c>
      <c r="AK5" s="1" t="s">
        <v>133</v>
      </c>
      <c r="AL5" s="39"/>
      <c r="AM5" s="1" t="s">
        <v>260</v>
      </c>
      <c r="AN5" s="1" t="s">
        <v>203</v>
      </c>
      <c r="AO5" s="1" t="s">
        <v>395</v>
      </c>
      <c r="AP5" s="1" t="s">
        <v>340</v>
      </c>
      <c r="AQ5" s="1" t="s">
        <v>204</v>
      </c>
      <c r="AR5" s="1" t="s">
        <v>396</v>
      </c>
      <c r="AS5" s="1" t="s">
        <v>135</v>
      </c>
      <c r="AT5" s="1" t="s">
        <v>136</v>
      </c>
      <c r="AU5" s="12" t="s">
        <v>68</v>
      </c>
      <c r="AV5" s="1" t="s">
        <v>133</v>
      </c>
    </row>
    <row r="6" spans="1:49" ht="30" x14ac:dyDescent="0.25">
      <c r="A6" s="5" t="s">
        <v>397</v>
      </c>
      <c r="B6" s="2" t="s">
        <v>398</v>
      </c>
      <c r="C6" s="2" t="s">
        <v>399</v>
      </c>
      <c r="D6" s="2" t="s">
        <v>400</v>
      </c>
      <c r="E6" s="2" t="s">
        <v>401</v>
      </c>
      <c r="F6" s="2" t="s">
        <v>402</v>
      </c>
      <c r="G6" s="23" t="s">
        <v>403</v>
      </c>
      <c r="H6" s="23" t="s">
        <v>403</v>
      </c>
      <c r="I6" s="2" t="s">
        <v>139</v>
      </c>
      <c r="J6" s="23" t="s">
        <v>403</v>
      </c>
      <c r="M6" s="2" t="s">
        <v>398</v>
      </c>
      <c r="N6" s="2" t="s">
        <v>399</v>
      </c>
      <c r="O6" s="2" t="s">
        <v>400</v>
      </c>
      <c r="P6" s="2" t="s">
        <v>401</v>
      </c>
      <c r="Q6" s="2" t="s">
        <v>402</v>
      </c>
      <c r="R6" s="2" t="s">
        <v>145</v>
      </c>
      <c r="S6" s="10" t="str">
        <f t="shared" ref="S6:S15" si="0">YEAR(Q6) &amp; RIGHT("0" &amp; MONTH(Q6), 2)</f>
        <v>202511</v>
      </c>
      <c r="T6" s="23"/>
      <c r="U6" s="23" t="s">
        <v>403</v>
      </c>
      <c r="V6" s="23" t="s">
        <v>403</v>
      </c>
      <c r="W6" s="10" t="s">
        <v>139</v>
      </c>
      <c r="X6" s="23" t="s">
        <v>403</v>
      </c>
      <c r="AA6" s="2" t="s">
        <v>398</v>
      </c>
      <c r="AB6" s="2" t="s">
        <v>399</v>
      </c>
      <c r="AC6" s="2" t="s">
        <v>400</v>
      </c>
      <c r="AD6" s="2" t="s">
        <v>401</v>
      </c>
      <c r="AE6" s="2" t="s">
        <v>402</v>
      </c>
      <c r="AF6" s="2" t="s">
        <v>145</v>
      </c>
      <c r="AG6" s="10" t="str">
        <f t="shared" ref="AG6:AG15" si="1">YEAR(AE6) &amp; RIGHT("0" &amp; MONTH(AE6), 2)</f>
        <v>202511</v>
      </c>
      <c r="AH6" s="23" t="s">
        <v>403</v>
      </c>
      <c r="AI6" s="23" t="s">
        <v>403</v>
      </c>
      <c r="AJ6" s="10" t="s">
        <v>139</v>
      </c>
      <c r="AK6" s="23" t="s">
        <v>403</v>
      </c>
      <c r="AM6" s="2" t="s">
        <v>398</v>
      </c>
      <c r="AN6" s="2" t="s">
        <v>399</v>
      </c>
      <c r="AO6" s="2" t="s">
        <v>400</v>
      </c>
      <c r="AP6" s="2" t="s">
        <v>401</v>
      </c>
      <c r="AQ6" s="2" t="s">
        <v>402</v>
      </c>
      <c r="AR6" s="10" t="str">
        <f t="shared" ref="AR6:AR15" si="2">YEAR(AQ6) &amp; RIGHT("0" &amp; MONTH(AQ6), 2)</f>
        <v>202511</v>
      </c>
      <c r="AS6" s="23" t="s">
        <v>403</v>
      </c>
      <c r="AT6" s="23" t="s">
        <v>403</v>
      </c>
      <c r="AU6" s="10" t="s">
        <v>139</v>
      </c>
      <c r="AV6" s="23" t="s">
        <v>403</v>
      </c>
      <c r="AW6" s="10"/>
    </row>
    <row r="7" spans="1:49" ht="30" x14ac:dyDescent="0.25">
      <c r="B7" s="2" t="s">
        <v>398</v>
      </c>
      <c r="C7" s="2" t="s">
        <v>404</v>
      </c>
      <c r="D7" s="2" t="s">
        <v>405</v>
      </c>
      <c r="E7" s="2" t="s">
        <v>406</v>
      </c>
      <c r="F7" s="2" t="s">
        <v>407</v>
      </c>
      <c r="G7" s="23" t="s">
        <v>403</v>
      </c>
      <c r="H7" s="23" t="s">
        <v>403</v>
      </c>
      <c r="I7" s="2" t="s">
        <v>139</v>
      </c>
      <c r="J7" s="23" t="s">
        <v>403</v>
      </c>
      <c r="M7" s="2" t="s">
        <v>398</v>
      </c>
      <c r="N7" s="2" t="s">
        <v>404</v>
      </c>
      <c r="O7" s="2" t="s">
        <v>405</v>
      </c>
      <c r="P7" s="2" t="s">
        <v>406</v>
      </c>
      <c r="Q7" s="2" t="s">
        <v>407</v>
      </c>
      <c r="R7" s="2" t="s">
        <v>145</v>
      </c>
      <c r="S7" s="10" t="str">
        <f t="shared" si="0"/>
        <v>202511</v>
      </c>
      <c r="T7" s="23"/>
      <c r="U7" s="23" t="s">
        <v>403</v>
      </c>
      <c r="V7" s="23" t="s">
        <v>403</v>
      </c>
      <c r="W7" s="10" t="s">
        <v>139</v>
      </c>
      <c r="X7" s="23" t="s">
        <v>403</v>
      </c>
      <c r="AA7" s="2" t="s">
        <v>398</v>
      </c>
      <c r="AB7" s="2" t="s">
        <v>404</v>
      </c>
      <c r="AC7" s="2" t="s">
        <v>405</v>
      </c>
      <c r="AD7" s="2" t="s">
        <v>406</v>
      </c>
      <c r="AE7" s="2" t="s">
        <v>407</v>
      </c>
      <c r="AF7" s="2" t="s">
        <v>145</v>
      </c>
      <c r="AG7" s="10" t="str">
        <f t="shared" si="1"/>
        <v>202511</v>
      </c>
      <c r="AH7" s="23" t="s">
        <v>403</v>
      </c>
      <c r="AI7" s="23" t="s">
        <v>403</v>
      </c>
      <c r="AJ7" s="10" t="s">
        <v>139</v>
      </c>
      <c r="AK7" s="23" t="s">
        <v>403</v>
      </c>
      <c r="AM7" s="2" t="s">
        <v>398</v>
      </c>
      <c r="AN7" s="2" t="s">
        <v>404</v>
      </c>
      <c r="AO7" s="2" t="s">
        <v>405</v>
      </c>
      <c r="AP7" s="2" t="s">
        <v>406</v>
      </c>
      <c r="AQ7" s="2" t="s">
        <v>407</v>
      </c>
      <c r="AR7" s="10" t="str">
        <f t="shared" si="2"/>
        <v>202511</v>
      </c>
      <c r="AS7" s="23" t="s">
        <v>403</v>
      </c>
      <c r="AT7" s="23" t="s">
        <v>403</v>
      </c>
      <c r="AU7" s="10" t="s">
        <v>139</v>
      </c>
      <c r="AV7" s="23" t="s">
        <v>403</v>
      </c>
      <c r="AW7" s="10"/>
    </row>
    <row r="8" spans="1:49" ht="30" x14ac:dyDescent="0.25">
      <c r="B8" s="2" t="s">
        <v>408</v>
      </c>
      <c r="C8" s="2" t="s">
        <v>409</v>
      </c>
      <c r="D8" s="2" t="s">
        <v>209</v>
      </c>
      <c r="E8" s="2" t="s">
        <v>410</v>
      </c>
      <c r="F8" s="2" t="s">
        <v>411</v>
      </c>
      <c r="G8" s="23" t="s">
        <v>403</v>
      </c>
      <c r="H8" s="23" t="s">
        <v>403</v>
      </c>
      <c r="I8" s="2" t="s">
        <v>139</v>
      </c>
      <c r="J8" s="23" t="s">
        <v>403</v>
      </c>
      <c r="M8" s="2" t="s">
        <v>408</v>
      </c>
      <c r="N8" s="2" t="s">
        <v>409</v>
      </c>
      <c r="O8" s="2" t="s">
        <v>209</v>
      </c>
      <c r="P8" s="2" t="s">
        <v>410</v>
      </c>
      <c r="Q8" s="2" t="s">
        <v>411</v>
      </c>
      <c r="R8" s="2" t="s">
        <v>145</v>
      </c>
      <c r="S8" s="10" t="str">
        <f t="shared" si="0"/>
        <v>202511</v>
      </c>
      <c r="T8" s="23"/>
      <c r="U8" s="23" t="s">
        <v>403</v>
      </c>
      <c r="V8" s="23" t="s">
        <v>403</v>
      </c>
      <c r="W8" s="10" t="s">
        <v>139</v>
      </c>
      <c r="X8" s="23" t="s">
        <v>403</v>
      </c>
      <c r="AA8" s="2" t="s">
        <v>408</v>
      </c>
      <c r="AB8" s="2" t="s">
        <v>409</v>
      </c>
      <c r="AC8" s="2" t="s">
        <v>209</v>
      </c>
      <c r="AD8" s="2" t="s">
        <v>410</v>
      </c>
      <c r="AE8" s="2" t="s">
        <v>411</v>
      </c>
      <c r="AF8" s="2" t="s">
        <v>145</v>
      </c>
      <c r="AG8" s="10" t="str">
        <f t="shared" si="1"/>
        <v>202511</v>
      </c>
      <c r="AH8" s="23" t="s">
        <v>403</v>
      </c>
      <c r="AI8" s="23" t="s">
        <v>403</v>
      </c>
      <c r="AJ8" s="10" t="s">
        <v>139</v>
      </c>
      <c r="AK8" s="23" t="s">
        <v>403</v>
      </c>
      <c r="AM8" s="2" t="s">
        <v>408</v>
      </c>
      <c r="AN8" s="2" t="s">
        <v>409</v>
      </c>
      <c r="AO8" s="2" t="s">
        <v>209</v>
      </c>
      <c r="AP8" s="2" t="s">
        <v>410</v>
      </c>
      <c r="AQ8" s="2" t="s">
        <v>411</v>
      </c>
      <c r="AR8" s="10" t="str">
        <f t="shared" si="2"/>
        <v>202511</v>
      </c>
      <c r="AS8" s="23" t="s">
        <v>403</v>
      </c>
      <c r="AT8" s="23" t="s">
        <v>403</v>
      </c>
      <c r="AU8" s="10" t="s">
        <v>139</v>
      </c>
      <c r="AV8" s="23" t="s">
        <v>403</v>
      </c>
      <c r="AW8" s="10"/>
    </row>
    <row r="9" spans="1:49" ht="30" x14ac:dyDescent="0.25">
      <c r="B9" s="2" t="s">
        <v>412</v>
      </c>
      <c r="C9" s="2" t="s">
        <v>413</v>
      </c>
      <c r="D9" s="2" t="s">
        <v>414</v>
      </c>
      <c r="E9" s="2" t="s">
        <v>415</v>
      </c>
      <c r="F9" s="2" t="s">
        <v>416</v>
      </c>
      <c r="G9" s="23" t="s">
        <v>403</v>
      </c>
      <c r="H9" s="23" t="s">
        <v>403</v>
      </c>
      <c r="I9" s="2" t="s">
        <v>139</v>
      </c>
      <c r="J9" s="23" t="s">
        <v>403</v>
      </c>
      <c r="M9" s="2" t="s">
        <v>412</v>
      </c>
      <c r="N9" s="2" t="s">
        <v>413</v>
      </c>
      <c r="O9" s="2" t="s">
        <v>414</v>
      </c>
      <c r="P9" s="2" t="s">
        <v>415</v>
      </c>
      <c r="Q9" s="2" t="s">
        <v>416</v>
      </c>
      <c r="R9" s="2" t="s">
        <v>145</v>
      </c>
      <c r="S9" s="10" t="str">
        <f t="shared" si="0"/>
        <v>202511</v>
      </c>
      <c r="T9" s="23"/>
      <c r="U9" s="23" t="s">
        <v>403</v>
      </c>
      <c r="V9" s="23" t="s">
        <v>403</v>
      </c>
      <c r="W9" s="10" t="s">
        <v>139</v>
      </c>
      <c r="X9" s="23" t="s">
        <v>403</v>
      </c>
      <c r="AA9" s="2" t="s">
        <v>412</v>
      </c>
      <c r="AB9" s="2" t="s">
        <v>413</v>
      </c>
      <c r="AC9" s="2" t="s">
        <v>414</v>
      </c>
      <c r="AD9" s="2" t="s">
        <v>415</v>
      </c>
      <c r="AE9" s="2" t="s">
        <v>416</v>
      </c>
      <c r="AF9" s="2" t="s">
        <v>145</v>
      </c>
      <c r="AG9" s="10" t="str">
        <f t="shared" si="1"/>
        <v>202511</v>
      </c>
      <c r="AH9" s="23" t="s">
        <v>403</v>
      </c>
      <c r="AI9" s="23" t="s">
        <v>403</v>
      </c>
      <c r="AJ9" s="10" t="s">
        <v>139</v>
      </c>
      <c r="AK9" s="23" t="s">
        <v>403</v>
      </c>
      <c r="AM9" s="2" t="s">
        <v>412</v>
      </c>
      <c r="AN9" s="2" t="s">
        <v>413</v>
      </c>
      <c r="AO9" s="2" t="s">
        <v>414</v>
      </c>
      <c r="AP9" s="2" t="s">
        <v>415</v>
      </c>
      <c r="AQ9" s="2" t="s">
        <v>416</v>
      </c>
      <c r="AR9" s="10" t="str">
        <f t="shared" si="2"/>
        <v>202511</v>
      </c>
      <c r="AS9" s="23" t="s">
        <v>403</v>
      </c>
      <c r="AT9" s="23" t="s">
        <v>403</v>
      </c>
      <c r="AU9" s="10" t="s">
        <v>139</v>
      </c>
      <c r="AV9" s="23" t="s">
        <v>403</v>
      </c>
      <c r="AW9" s="10"/>
    </row>
    <row r="10" spans="1:49" ht="30" x14ac:dyDescent="0.25">
      <c r="B10" s="2" t="s">
        <v>412</v>
      </c>
      <c r="C10" s="2" t="s">
        <v>417</v>
      </c>
      <c r="D10" s="2" t="s">
        <v>414</v>
      </c>
      <c r="E10" s="2" t="s">
        <v>418</v>
      </c>
      <c r="F10" s="2" t="s">
        <v>419</v>
      </c>
      <c r="G10" s="23" t="s">
        <v>403</v>
      </c>
      <c r="H10" s="23" t="s">
        <v>403</v>
      </c>
      <c r="I10" s="2" t="s">
        <v>139</v>
      </c>
      <c r="J10" s="23" t="s">
        <v>403</v>
      </c>
      <c r="M10" s="2" t="s">
        <v>412</v>
      </c>
      <c r="N10" s="2" t="s">
        <v>417</v>
      </c>
      <c r="O10" s="2" t="s">
        <v>414</v>
      </c>
      <c r="P10" s="2" t="s">
        <v>418</v>
      </c>
      <c r="Q10" s="2" t="s">
        <v>419</v>
      </c>
      <c r="R10" s="2" t="s">
        <v>145</v>
      </c>
      <c r="S10" s="10" t="str">
        <f t="shared" si="0"/>
        <v>202511</v>
      </c>
      <c r="T10" s="23"/>
      <c r="U10" s="23" t="s">
        <v>403</v>
      </c>
      <c r="V10" s="23" t="s">
        <v>403</v>
      </c>
      <c r="W10" s="10" t="s">
        <v>139</v>
      </c>
      <c r="X10" s="23" t="s">
        <v>403</v>
      </c>
      <c r="AA10" s="2" t="s">
        <v>412</v>
      </c>
      <c r="AB10" s="2" t="s">
        <v>417</v>
      </c>
      <c r="AC10" s="2" t="s">
        <v>414</v>
      </c>
      <c r="AD10" s="2" t="s">
        <v>418</v>
      </c>
      <c r="AE10" s="2" t="s">
        <v>419</v>
      </c>
      <c r="AF10" s="2" t="s">
        <v>145</v>
      </c>
      <c r="AG10" s="10" t="str">
        <f t="shared" si="1"/>
        <v>202511</v>
      </c>
      <c r="AH10" s="23" t="s">
        <v>403</v>
      </c>
      <c r="AI10" s="23" t="s">
        <v>403</v>
      </c>
      <c r="AJ10" s="10" t="s">
        <v>139</v>
      </c>
      <c r="AK10" s="23" t="s">
        <v>403</v>
      </c>
      <c r="AM10" s="2" t="s">
        <v>412</v>
      </c>
      <c r="AN10" s="2" t="s">
        <v>417</v>
      </c>
      <c r="AO10" s="2" t="s">
        <v>414</v>
      </c>
      <c r="AP10" s="2" t="s">
        <v>418</v>
      </c>
      <c r="AQ10" s="2" t="s">
        <v>419</v>
      </c>
      <c r="AR10" s="10" t="str">
        <f t="shared" si="2"/>
        <v>202511</v>
      </c>
      <c r="AS10" s="23" t="s">
        <v>403</v>
      </c>
      <c r="AT10" s="23" t="s">
        <v>403</v>
      </c>
      <c r="AU10" s="10" t="s">
        <v>139</v>
      </c>
      <c r="AV10" s="23" t="s">
        <v>403</v>
      </c>
      <c r="AW10" s="10"/>
    </row>
    <row r="11" spans="1:49" ht="30" x14ac:dyDescent="0.25">
      <c r="B11" s="2" t="s">
        <v>412</v>
      </c>
      <c r="C11" s="2" t="s">
        <v>420</v>
      </c>
      <c r="D11" s="2" t="s">
        <v>421</v>
      </c>
      <c r="E11" s="2" t="s">
        <v>422</v>
      </c>
      <c r="F11" s="2" t="s">
        <v>419</v>
      </c>
      <c r="G11" s="23" t="s">
        <v>403</v>
      </c>
      <c r="H11" s="23" t="s">
        <v>403</v>
      </c>
      <c r="I11" s="2" t="s">
        <v>139</v>
      </c>
      <c r="J11" s="23" t="s">
        <v>403</v>
      </c>
      <c r="M11" s="2" t="s">
        <v>412</v>
      </c>
      <c r="N11" s="2" t="s">
        <v>420</v>
      </c>
      <c r="O11" s="2" t="s">
        <v>421</v>
      </c>
      <c r="P11" s="2" t="s">
        <v>422</v>
      </c>
      <c r="Q11" s="2" t="s">
        <v>419</v>
      </c>
      <c r="R11" s="2" t="s">
        <v>145</v>
      </c>
      <c r="S11" s="10" t="str">
        <f t="shared" si="0"/>
        <v>202511</v>
      </c>
      <c r="T11" s="23"/>
      <c r="U11" s="23" t="s">
        <v>403</v>
      </c>
      <c r="V11" s="23" t="s">
        <v>403</v>
      </c>
      <c r="W11" s="10" t="s">
        <v>139</v>
      </c>
      <c r="X11" s="23" t="s">
        <v>403</v>
      </c>
      <c r="AA11" s="2" t="s">
        <v>412</v>
      </c>
      <c r="AB11" s="2" t="s">
        <v>420</v>
      </c>
      <c r="AC11" s="2" t="s">
        <v>421</v>
      </c>
      <c r="AD11" s="2" t="s">
        <v>422</v>
      </c>
      <c r="AE11" s="2" t="s">
        <v>419</v>
      </c>
      <c r="AF11" s="2" t="s">
        <v>145</v>
      </c>
      <c r="AG11" s="10" t="str">
        <f t="shared" si="1"/>
        <v>202511</v>
      </c>
      <c r="AH11" s="23" t="s">
        <v>403</v>
      </c>
      <c r="AI11" s="23" t="s">
        <v>403</v>
      </c>
      <c r="AJ11" s="10" t="s">
        <v>139</v>
      </c>
      <c r="AK11" s="23" t="s">
        <v>403</v>
      </c>
      <c r="AM11" s="2" t="s">
        <v>412</v>
      </c>
      <c r="AN11" s="2" t="s">
        <v>420</v>
      </c>
      <c r="AO11" s="2" t="s">
        <v>421</v>
      </c>
      <c r="AP11" s="2" t="s">
        <v>422</v>
      </c>
      <c r="AQ11" s="2" t="s">
        <v>419</v>
      </c>
      <c r="AR11" s="10" t="str">
        <f t="shared" si="2"/>
        <v>202511</v>
      </c>
      <c r="AS11" s="23" t="s">
        <v>403</v>
      </c>
      <c r="AT11" s="23" t="s">
        <v>403</v>
      </c>
      <c r="AU11" s="10" t="s">
        <v>139</v>
      </c>
      <c r="AV11" s="23" t="s">
        <v>403</v>
      </c>
      <c r="AW11" s="10"/>
    </row>
    <row r="12" spans="1:49" ht="30" x14ac:dyDescent="0.25">
      <c r="B12" s="2" t="s">
        <v>423</v>
      </c>
      <c r="C12" s="2" t="s">
        <v>424</v>
      </c>
      <c r="D12" s="2" t="s">
        <v>425</v>
      </c>
      <c r="E12" s="2" t="s">
        <v>426</v>
      </c>
      <c r="F12" s="2" t="s">
        <v>427</v>
      </c>
      <c r="G12" s="23" t="s">
        <v>403</v>
      </c>
      <c r="H12" s="23" t="s">
        <v>403</v>
      </c>
      <c r="I12" s="2" t="s">
        <v>139</v>
      </c>
      <c r="J12" s="23" t="s">
        <v>403</v>
      </c>
      <c r="M12" s="2" t="s">
        <v>423</v>
      </c>
      <c r="N12" s="2" t="s">
        <v>424</v>
      </c>
      <c r="O12" s="2" t="s">
        <v>425</v>
      </c>
      <c r="P12" s="2" t="s">
        <v>426</v>
      </c>
      <c r="Q12" s="2" t="s">
        <v>427</v>
      </c>
      <c r="R12" s="2" t="s">
        <v>145</v>
      </c>
      <c r="S12" s="10" t="str">
        <f t="shared" si="0"/>
        <v>202511</v>
      </c>
      <c r="T12" s="23"/>
      <c r="U12" s="23" t="s">
        <v>403</v>
      </c>
      <c r="V12" s="23" t="s">
        <v>403</v>
      </c>
      <c r="W12" s="10" t="s">
        <v>139</v>
      </c>
      <c r="X12" s="23" t="s">
        <v>403</v>
      </c>
      <c r="AA12" s="2" t="s">
        <v>423</v>
      </c>
      <c r="AB12" s="2" t="s">
        <v>424</v>
      </c>
      <c r="AC12" s="2" t="s">
        <v>425</v>
      </c>
      <c r="AD12" s="2" t="s">
        <v>426</v>
      </c>
      <c r="AE12" s="2" t="s">
        <v>427</v>
      </c>
      <c r="AF12" s="2" t="s">
        <v>145</v>
      </c>
      <c r="AG12" s="10" t="str">
        <f t="shared" si="1"/>
        <v>202511</v>
      </c>
      <c r="AH12" s="23" t="s">
        <v>403</v>
      </c>
      <c r="AI12" s="23" t="s">
        <v>403</v>
      </c>
      <c r="AJ12" s="10" t="s">
        <v>139</v>
      </c>
      <c r="AK12" s="23" t="s">
        <v>403</v>
      </c>
      <c r="AM12" s="2" t="s">
        <v>423</v>
      </c>
      <c r="AN12" s="2" t="s">
        <v>424</v>
      </c>
      <c r="AO12" s="2" t="s">
        <v>425</v>
      </c>
      <c r="AP12" s="2" t="s">
        <v>426</v>
      </c>
      <c r="AQ12" s="2" t="s">
        <v>427</v>
      </c>
      <c r="AR12" s="10" t="str">
        <f t="shared" si="2"/>
        <v>202511</v>
      </c>
      <c r="AS12" s="23" t="s">
        <v>403</v>
      </c>
      <c r="AT12" s="23" t="s">
        <v>403</v>
      </c>
      <c r="AU12" s="10" t="s">
        <v>139</v>
      </c>
      <c r="AV12" s="23" t="s">
        <v>403</v>
      </c>
      <c r="AW12" s="10"/>
    </row>
    <row r="13" spans="1:49" ht="30" x14ac:dyDescent="0.25">
      <c r="B13" s="2" t="s">
        <v>428</v>
      </c>
      <c r="C13" s="2" t="s">
        <v>429</v>
      </c>
      <c r="D13" s="2" t="s">
        <v>425</v>
      </c>
      <c r="E13" s="2" t="s">
        <v>430</v>
      </c>
      <c r="F13" s="2" t="s">
        <v>427</v>
      </c>
      <c r="G13" s="23" t="s">
        <v>403</v>
      </c>
      <c r="H13" s="23" t="s">
        <v>403</v>
      </c>
      <c r="I13" s="2" t="s">
        <v>139</v>
      </c>
      <c r="J13" s="23" t="s">
        <v>403</v>
      </c>
      <c r="M13" s="2" t="s">
        <v>428</v>
      </c>
      <c r="N13" s="2" t="s">
        <v>429</v>
      </c>
      <c r="O13" s="2" t="s">
        <v>425</v>
      </c>
      <c r="P13" s="2" t="s">
        <v>430</v>
      </c>
      <c r="Q13" s="2" t="s">
        <v>427</v>
      </c>
      <c r="R13" s="2" t="s">
        <v>145</v>
      </c>
      <c r="S13" s="10" t="str">
        <f t="shared" si="0"/>
        <v>202511</v>
      </c>
      <c r="T13" s="23"/>
      <c r="U13" s="23" t="s">
        <v>403</v>
      </c>
      <c r="V13" s="23" t="s">
        <v>403</v>
      </c>
      <c r="W13" s="10" t="s">
        <v>139</v>
      </c>
      <c r="X13" s="23" t="s">
        <v>403</v>
      </c>
      <c r="AA13" s="2" t="s">
        <v>428</v>
      </c>
      <c r="AB13" s="2" t="s">
        <v>429</v>
      </c>
      <c r="AC13" s="2" t="s">
        <v>425</v>
      </c>
      <c r="AD13" s="2" t="s">
        <v>430</v>
      </c>
      <c r="AE13" s="2" t="s">
        <v>427</v>
      </c>
      <c r="AF13" s="2" t="s">
        <v>145</v>
      </c>
      <c r="AG13" s="10" t="str">
        <f t="shared" si="1"/>
        <v>202511</v>
      </c>
      <c r="AH13" s="23" t="s">
        <v>403</v>
      </c>
      <c r="AI13" s="23" t="s">
        <v>403</v>
      </c>
      <c r="AJ13" s="10" t="s">
        <v>139</v>
      </c>
      <c r="AK13" s="23" t="s">
        <v>403</v>
      </c>
      <c r="AM13" s="2" t="s">
        <v>428</v>
      </c>
      <c r="AN13" s="2" t="s">
        <v>429</v>
      </c>
      <c r="AO13" s="2" t="s">
        <v>425</v>
      </c>
      <c r="AP13" s="2" t="s">
        <v>430</v>
      </c>
      <c r="AQ13" s="2" t="s">
        <v>427</v>
      </c>
      <c r="AR13" s="10" t="str">
        <f t="shared" si="2"/>
        <v>202511</v>
      </c>
      <c r="AS13" s="23" t="s">
        <v>403</v>
      </c>
      <c r="AT13" s="23" t="s">
        <v>403</v>
      </c>
      <c r="AU13" s="10" t="s">
        <v>139</v>
      </c>
      <c r="AV13" s="23" t="s">
        <v>403</v>
      </c>
      <c r="AW13" s="10"/>
    </row>
    <row r="14" spans="1:49" ht="30" x14ac:dyDescent="0.25">
      <c r="B14" s="2" t="s">
        <v>428</v>
      </c>
      <c r="C14" s="2" t="s">
        <v>431</v>
      </c>
      <c r="D14" s="2" t="s">
        <v>425</v>
      </c>
      <c r="E14" s="2" t="s">
        <v>432</v>
      </c>
      <c r="F14" s="2" t="s">
        <v>427</v>
      </c>
      <c r="G14" s="23" t="s">
        <v>403</v>
      </c>
      <c r="H14" s="23" t="s">
        <v>403</v>
      </c>
      <c r="I14" s="2" t="s">
        <v>139</v>
      </c>
      <c r="J14" s="23" t="s">
        <v>403</v>
      </c>
      <c r="M14" s="2" t="s">
        <v>428</v>
      </c>
      <c r="N14" s="2" t="s">
        <v>431</v>
      </c>
      <c r="O14" s="2" t="s">
        <v>425</v>
      </c>
      <c r="P14" s="2" t="s">
        <v>432</v>
      </c>
      <c r="Q14" s="2" t="s">
        <v>427</v>
      </c>
      <c r="R14" s="2" t="s">
        <v>145</v>
      </c>
      <c r="S14" s="10" t="str">
        <f t="shared" si="0"/>
        <v>202511</v>
      </c>
      <c r="T14" s="23"/>
      <c r="U14" s="23" t="s">
        <v>403</v>
      </c>
      <c r="V14" s="23" t="s">
        <v>403</v>
      </c>
      <c r="W14" s="10" t="s">
        <v>139</v>
      </c>
      <c r="X14" s="23" t="s">
        <v>403</v>
      </c>
      <c r="AA14" s="2" t="s">
        <v>428</v>
      </c>
      <c r="AB14" s="2" t="s">
        <v>431</v>
      </c>
      <c r="AC14" s="2" t="s">
        <v>425</v>
      </c>
      <c r="AD14" s="2" t="s">
        <v>432</v>
      </c>
      <c r="AE14" s="2" t="s">
        <v>427</v>
      </c>
      <c r="AF14" s="2" t="s">
        <v>145</v>
      </c>
      <c r="AG14" s="10" t="str">
        <f t="shared" si="1"/>
        <v>202511</v>
      </c>
      <c r="AH14" s="23" t="s">
        <v>403</v>
      </c>
      <c r="AI14" s="23" t="s">
        <v>403</v>
      </c>
      <c r="AJ14" s="10" t="s">
        <v>139</v>
      </c>
      <c r="AK14" s="23" t="s">
        <v>403</v>
      </c>
      <c r="AM14" s="2" t="s">
        <v>428</v>
      </c>
      <c r="AN14" s="2" t="s">
        <v>431</v>
      </c>
      <c r="AO14" s="2" t="s">
        <v>425</v>
      </c>
      <c r="AP14" s="2" t="s">
        <v>432</v>
      </c>
      <c r="AQ14" s="2" t="s">
        <v>427</v>
      </c>
      <c r="AR14" s="10" t="str">
        <f t="shared" si="2"/>
        <v>202511</v>
      </c>
      <c r="AS14" s="23" t="s">
        <v>403</v>
      </c>
      <c r="AT14" s="23" t="s">
        <v>403</v>
      </c>
      <c r="AU14" s="10" t="s">
        <v>139</v>
      </c>
      <c r="AV14" s="23" t="s">
        <v>403</v>
      </c>
      <c r="AW14" s="10"/>
    </row>
    <row r="15" spans="1:49" ht="30" x14ac:dyDescent="0.25">
      <c r="B15" s="2" t="s">
        <v>433</v>
      </c>
      <c r="C15" s="2" t="s">
        <v>434</v>
      </c>
      <c r="D15" s="2" t="s">
        <v>425</v>
      </c>
      <c r="E15" s="2" t="s">
        <v>435</v>
      </c>
      <c r="F15" s="2" t="s">
        <v>427</v>
      </c>
      <c r="G15" s="23" t="s">
        <v>403</v>
      </c>
      <c r="H15" s="23" t="s">
        <v>403</v>
      </c>
      <c r="I15" s="2" t="s">
        <v>139</v>
      </c>
      <c r="J15" s="23" t="s">
        <v>403</v>
      </c>
      <c r="M15" s="2" t="s">
        <v>433</v>
      </c>
      <c r="N15" s="2" t="s">
        <v>434</v>
      </c>
      <c r="O15" s="2" t="s">
        <v>425</v>
      </c>
      <c r="P15" s="2" t="s">
        <v>435</v>
      </c>
      <c r="Q15" s="2" t="s">
        <v>427</v>
      </c>
      <c r="R15" s="2" t="s">
        <v>145</v>
      </c>
      <c r="S15" s="10" t="str">
        <f t="shared" si="0"/>
        <v>202511</v>
      </c>
      <c r="T15" s="23"/>
      <c r="U15" s="23" t="s">
        <v>403</v>
      </c>
      <c r="V15" s="23" t="s">
        <v>403</v>
      </c>
      <c r="W15" s="10" t="s">
        <v>139</v>
      </c>
      <c r="X15" s="23" t="s">
        <v>403</v>
      </c>
      <c r="AA15" s="2" t="s">
        <v>433</v>
      </c>
      <c r="AB15" s="2" t="s">
        <v>434</v>
      </c>
      <c r="AC15" s="2" t="s">
        <v>425</v>
      </c>
      <c r="AD15" s="2" t="s">
        <v>435</v>
      </c>
      <c r="AE15" s="2" t="s">
        <v>427</v>
      </c>
      <c r="AF15" s="2" t="s">
        <v>145</v>
      </c>
      <c r="AG15" s="10" t="str">
        <f t="shared" si="1"/>
        <v>202511</v>
      </c>
      <c r="AH15" s="23" t="s">
        <v>403</v>
      </c>
      <c r="AI15" s="23" t="s">
        <v>403</v>
      </c>
      <c r="AJ15" s="10" t="s">
        <v>139</v>
      </c>
      <c r="AK15" s="23" t="s">
        <v>403</v>
      </c>
      <c r="AM15" s="2" t="s">
        <v>433</v>
      </c>
      <c r="AN15" s="2" t="s">
        <v>434</v>
      </c>
      <c r="AO15" s="2" t="s">
        <v>425</v>
      </c>
      <c r="AP15" s="2" t="s">
        <v>435</v>
      </c>
      <c r="AQ15" s="2" t="s">
        <v>427</v>
      </c>
      <c r="AR15" s="10" t="str">
        <f t="shared" si="2"/>
        <v>202511</v>
      </c>
      <c r="AS15" s="23" t="s">
        <v>403</v>
      </c>
      <c r="AT15" s="23" t="s">
        <v>403</v>
      </c>
      <c r="AU15" s="10" t="s">
        <v>139</v>
      </c>
      <c r="AV15" s="23" t="s">
        <v>403</v>
      </c>
      <c r="AW15" s="10"/>
    </row>
    <row r="16" spans="1:49" s="17" customFormat="1" x14ac:dyDescent="0.25">
      <c r="A16" s="44" t="s">
        <v>393</v>
      </c>
      <c r="B16" s="22" t="s">
        <v>436</v>
      </c>
      <c r="L16" s="40"/>
      <c r="M16" s="22" t="s">
        <v>83</v>
      </c>
      <c r="S16" s="18"/>
      <c r="T16" s="18"/>
      <c r="U16" s="18"/>
      <c r="V16" s="18"/>
      <c r="W16" s="18"/>
      <c r="X16" s="18"/>
      <c r="Z16" s="40"/>
      <c r="AA16" s="22" t="s">
        <v>83</v>
      </c>
      <c r="AG16" s="18"/>
      <c r="AH16" s="18"/>
      <c r="AI16" s="18"/>
      <c r="AJ16" s="18"/>
      <c r="AK16" s="18"/>
      <c r="AL16" s="40"/>
      <c r="AM16" s="22" t="s">
        <v>83</v>
      </c>
      <c r="AR16" s="18"/>
      <c r="AS16" s="18"/>
      <c r="AT16" s="18"/>
      <c r="AU16" s="18"/>
      <c r="AV16" s="18"/>
      <c r="AW16" s="18"/>
    </row>
    <row r="17" spans="1:49" ht="30" x14ac:dyDescent="0.25">
      <c r="A17" s="5" t="s">
        <v>437</v>
      </c>
      <c r="B17" s="2" t="s">
        <v>438</v>
      </c>
      <c r="C17" s="2" t="s">
        <v>439</v>
      </c>
      <c r="D17" s="2" t="s">
        <v>212</v>
      </c>
      <c r="E17" s="2" t="s">
        <v>440</v>
      </c>
      <c r="F17" s="2" t="s">
        <v>441</v>
      </c>
      <c r="G17" s="23" t="s">
        <v>442</v>
      </c>
      <c r="H17" s="23" t="s">
        <v>442</v>
      </c>
      <c r="I17" s="2" t="s">
        <v>139</v>
      </c>
      <c r="J17" s="23" t="s">
        <v>442</v>
      </c>
      <c r="M17" s="2" t="s">
        <v>398</v>
      </c>
      <c r="N17" s="2" t="s">
        <v>399</v>
      </c>
      <c r="O17" s="2" t="s">
        <v>400</v>
      </c>
      <c r="P17" s="2" t="s">
        <v>401</v>
      </c>
      <c r="Q17" s="2" t="s">
        <v>402</v>
      </c>
      <c r="R17" s="2" t="s">
        <v>145</v>
      </c>
      <c r="S17" s="10" t="str">
        <f t="shared" ref="S17:S34" si="3">YEAR(Q17) &amp; RIGHT("0" &amp; MONTH(Q17), 2)</f>
        <v>202511</v>
      </c>
      <c r="T17" s="23"/>
      <c r="U17" s="23" t="s">
        <v>403</v>
      </c>
      <c r="V17" s="23" t="s">
        <v>403</v>
      </c>
      <c r="W17" s="10" t="s">
        <v>139</v>
      </c>
      <c r="X17" s="23" t="s">
        <v>403</v>
      </c>
      <c r="AA17" s="2" t="s">
        <v>398</v>
      </c>
      <c r="AB17" s="2" t="s">
        <v>399</v>
      </c>
      <c r="AC17" s="2" t="s">
        <v>400</v>
      </c>
      <c r="AD17" s="2" t="s">
        <v>401</v>
      </c>
      <c r="AE17" s="2" t="s">
        <v>402</v>
      </c>
      <c r="AF17" s="2" t="s">
        <v>145</v>
      </c>
      <c r="AG17" s="10" t="str">
        <f t="shared" ref="AG17:AG34" si="4">YEAR(AE17) &amp; RIGHT("0" &amp; MONTH(AE17), 2)</f>
        <v>202511</v>
      </c>
      <c r="AH17" s="23" t="s">
        <v>403</v>
      </c>
      <c r="AI17" s="23" t="s">
        <v>403</v>
      </c>
      <c r="AJ17" s="10" t="s">
        <v>139</v>
      </c>
      <c r="AK17" s="23" t="s">
        <v>403</v>
      </c>
      <c r="AM17" s="2" t="s">
        <v>398</v>
      </c>
      <c r="AN17" s="2" t="s">
        <v>399</v>
      </c>
      <c r="AO17" s="2" t="s">
        <v>400</v>
      </c>
      <c r="AP17" s="2" t="s">
        <v>401</v>
      </c>
      <c r="AQ17" s="2" t="s">
        <v>402</v>
      </c>
      <c r="AR17" s="10" t="str">
        <f t="shared" ref="AR17:AR34" si="5">YEAR(AQ17) &amp; RIGHT("0" &amp; MONTH(AQ17), 2)</f>
        <v>202511</v>
      </c>
      <c r="AS17" s="23" t="s">
        <v>403</v>
      </c>
      <c r="AT17" s="23" t="s">
        <v>403</v>
      </c>
      <c r="AU17" s="10" t="s">
        <v>139</v>
      </c>
      <c r="AV17" s="23" t="s">
        <v>403</v>
      </c>
      <c r="AW17" s="10"/>
    </row>
    <row r="18" spans="1:49" ht="30" x14ac:dyDescent="0.25">
      <c r="B18" s="2" t="s">
        <v>443</v>
      </c>
      <c r="C18" s="2" t="s">
        <v>444</v>
      </c>
      <c r="D18" s="2" t="s">
        <v>212</v>
      </c>
      <c r="E18" s="2" t="s">
        <v>445</v>
      </c>
      <c r="F18" s="2" t="s">
        <v>446</v>
      </c>
      <c r="G18" s="23" t="s">
        <v>442</v>
      </c>
      <c r="H18" s="23" t="s">
        <v>442</v>
      </c>
      <c r="I18" s="2" t="s">
        <v>139</v>
      </c>
      <c r="J18" s="23" t="s">
        <v>442</v>
      </c>
      <c r="M18" s="2" t="s">
        <v>398</v>
      </c>
      <c r="N18" s="2" t="s">
        <v>404</v>
      </c>
      <c r="O18" s="2" t="s">
        <v>405</v>
      </c>
      <c r="P18" s="2" t="s">
        <v>406</v>
      </c>
      <c r="Q18" s="2" t="s">
        <v>407</v>
      </c>
      <c r="R18" s="2" t="s">
        <v>145</v>
      </c>
      <c r="S18" s="10" t="str">
        <f t="shared" si="3"/>
        <v>202511</v>
      </c>
      <c r="T18" s="23"/>
      <c r="U18" s="23" t="s">
        <v>403</v>
      </c>
      <c r="V18" s="23" t="s">
        <v>403</v>
      </c>
      <c r="W18" s="10" t="s">
        <v>139</v>
      </c>
      <c r="X18" s="23" t="s">
        <v>403</v>
      </c>
      <c r="AA18" s="2" t="s">
        <v>398</v>
      </c>
      <c r="AB18" s="2" t="s">
        <v>404</v>
      </c>
      <c r="AC18" s="2" t="s">
        <v>405</v>
      </c>
      <c r="AD18" s="2" t="s">
        <v>406</v>
      </c>
      <c r="AE18" s="2" t="s">
        <v>407</v>
      </c>
      <c r="AF18" s="2" t="s">
        <v>145</v>
      </c>
      <c r="AG18" s="10" t="str">
        <f t="shared" si="4"/>
        <v>202511</v>
      </c>
      <c r="AH18" s="23" t="s">
        <v>403</v>
      </c>
      <c r="AI18" s="23" t="s">
        <v>403</v>
      </c>
      <c r="AJ18" s="10" t="s">
        <v>139</v>
      </c>
      <c r="AK18" s="23" t="s">
        <v>403</v>
      </c>
      <c r="AM18" s="2" t="s">
        <v>398</v>
      </c>
      <c r="AN18" s="2" t="s">
        <v>404</v>
      </c>
      <c r="AO18" s="2" t="s">
        <v>405</v>
      </c>
      <c r="AP18" s="2" t="s">
        <v>406</v>
      </c>
      <c r="AQ18" s="2" t="s">
        <v>407</v>
      </c>
      <c r="AR18" s="10" t="str">
        <f t="shared" si="5"/>
        <v>202511</v>
      </c>
      <c r="AS18" s="23" t="s">
        <v>403</v>
      </c>
      <c r="AT18" s="23" t="s">
        <v>403</v>
      </c>
      <c r="AU18" s="10" t="s">
        <v>139</v>
      </c>
      <c r="AV18" s="23" t="s">
        <v>403</v>
      </c>
      <c r="AW18" s="10"/>
    </row>
    <row r="19" spans="1:49" ht="30" x14ac:dyDescent="0.25">
      <c r="B19" s="2" t="s">
        <v>447</v>
      </c>
      <c r="C19" s="2" t="s">
        <v>448</v>
      </c>
      <c r="D19" s="2" t="s">
        <v>449</v>
      </c>
      <c r="E19" s="2" t="s">
        <v>450</v>
      </c>
      <c r="F19" s="2" t="s">
        <v>451</v>
      </c>
      <c r="G19" s="23" t="s">
        <v>442</v>
      </c>
      <c r="H19" s="23" t="s">
        <v>442</v>
      </c>
      <c r="I19" s="2" t="s">
        <v>139</v>
      </c>
      <c r="J19" s="23" t="s">
        <v>442</v>
      </c>
      <c r="M19" s="2" t="s">
        <v>408</v>
      </c>
      <c r="N19" s="2" t="s">
        <v>409</v>
      </c>
      <c r="O19" s="2" t="s">
        <v>209</v>
      </c>
      <c r="P19" s="2" t="s">
        <v>410</v>
      </c>
      <c r="Q19" s="2" t="s">
        <v>411</v>
      </c>
      <c r="R19" s="2" t="s">
        <v>145</v>
      </c>
      <c r="S19" s="10" t="str">
        <f t="shared" si="3"/>
        <v>202511</v>
      </c>
      <c r="T19" s="23"/>
      <c r="U19" s="23" t="s">
        <v>403</v>
      </c>
      <c r="V19" s="23" t="s">
        <v>403</v>
      </c>
      <c r="W19" s="10" t="s">
        <v>139</v>
      </c>
      <c r="X19" s="23" t="s">
        <v>403</v>
      </c>
      <c r="AA19" s="2" t="s">
        <v>408</v>
      </c>
      <c r="AB19" s="2" t="s">
        <v>409</v>
      </c>
      <c r="AC19" s="2" t="s">
        <v>209</v>
      </c>
      <c r="AD19" s="2" t="s">
        <v>410</v>
      </c>
      <c r="AE19" s="2" t="s">
        <v>411</v>
      </c>
      <c r="AF19" s="2" t="s">
        <v>145</v>
      </c>
      <c r="AG19" s="10" t="str">
        <f t="shared" si="4"/>
        <v>202511</v>
      </c>
      <c r="AH19" s="23" t="s">
        <v>403</v>
      </c>
      <c r="AI19" s="23" t="s">
        <v>403</v>
      </c>
      <c r="AJ19" s="10" t="s">
        <v>139</v>
      </c>
      <c r="AK19" s="23" t="s">
        <v>403</v>
      </c>
      <c r="AM19" s="2" t="s">
        <v>408</v>
      </c>
      <c r="AN19" s="2" t="s">
        <v>409</v>
      </c>
      <c r="AO19" s="2" t="s">
        <v>209</v>
      </c>
      <c r="AP19" s="2" t="s">
        <v>410</v>
      </c>
      <c r="AQ19" s="2" t="s">
        <v>411</v>
      </c>
      <c r="AR19" s="10" t="str">
        <f t="shared" si="5"/>
        <v>202511</v>
      </c>
      <c r="AS19" s="23" t="s">
        <v>403</v>
      </c>
      <c r="AT19" s="23" t="s">
        <v>403</v>
      </c>
      <c r="AU19" s="10" t="s">
        <v>139</v>
      </c>
      <c r="AV19" s="23" t="s">
        <v>403</v>
      </c>
      <c r="AW19" s="10"/>
    </row>
    <row r="20" spans="1:49" ht="30" x14ac:dyDescent="0.25">
      <c r="B20" s="2" t="s">
        <v>452</v>
      </c>
      <c r="C20" s="2" t="s">
        <v>453</v>
      </c>
      <c r="D20" s="2" t="s">
        <v>349</v>
      </c>
      <c r="E20" s="2" t="s">
        <v>454</v>
      </c>
      <c r="F20" s="2" t="s">
        <v>455</v>
      </c>
      <c r="G20" s="23" t="s">
        <v>442</v>
      </c>
      <c r="H20" s="23" t="s">
        <v>442</v>
      </c>
      <c r="I20" s="2" t="s">
        <v>139</v>
      </c>
      <c r="J20" s="23" t="s">
        <v>442</v>
      </c>
      <c r="M20" s="2" t="s">
        <v>412</v>
      </c>
      <c r="N20" s="2" t="s">
        <v>413</v>
      </c>
      <c r="O20" s="2" t="s">
        <v>414</v>
      </c>
      <c r="P20" s="2" t="s">
        <v>415</v>
      </c>
      <c r="Q20" s="2" t="s">
        <v>416</v>
      </c>
      <c r="R20" s="2" t="s">
        <v>145</v>
      </c>
      <c r="S20" s="10" t="str">
        <f t="shared" si="3"/>
        <v>202511</v>
      </c>
      <c r="T20" s="23"/>
      <c r="U20" s="23" t="s">
        <v>403</v>
      </c>
      <c r="V20" s="23" t="s">
        <v>403</v>
      </c>
      <c r="W20" s="10" t="s">
        <v>139</v>
      </c>
      <c r="X20" s="23" t="s">
        <v>403</v>
      </c>
      <c r="AA20" s="2" t="s">
        <v>412</v>
      </c>
      <c r="AB20" s="2" t="s">
        <v>413</v>
      </c>
      <c r="AC20" s="2" t="s">
        <v>414</v>
      </c>
      <c r="AD20" s="2" t="s">
        <v>415</v>
      </c>
      <c r="AE20" s="2" t="s">
        <v>416</v>
      </c>
      <c r="AF20" s="2" t="s">
        <v>145</v>
      </c>
      <c r="AG20" s="10" t="str">
        <f t="shared" si="4"/>
        <v>202511</v>
      </c>
      <c r="AH20" s="23" t="s">
        <v>403</v>
      </c>
      <c r="AI20" s="23" t="s">
        <v>403</v>
      </c>
      <c r="AJ20" s="10" t="s">
        <v>139</v>
      </c>
      <c r="AK20" s="23" t="s">
        <v>403</v>
      </c>
      <c r="AM20" s="2" t="s">
        <v>412</v>
      </c>
      <c r="AN20" s="2" t="s">
        <v>413</v>
      </c>
      <c r="AO20" s="2" t="s">
        <v>414</v>
      </c>
      <c r="AP20" s="2" t="s">
        <v>415</v>
      </c>
      <c r="AQ20" s="2" t="s">
        <v>416</v>
      </c>
      <c r="AR20" s="10" t="str">
        <f t="shared" si="5"/>
        <v>202511</v>
      </c>
      <c r="AS20" s="23" t="s">
        <v>403</v>
      </c>
      <c r="AT20" s="23" t="s">
        <v>403</v>
      </c>
      <c r="AU20" s="10" t="s">
        <v>139</v>
      </c>
      <c r="AV20" s="23" t="s">
        <v>403</v>
      </c>
      <c r="AW20" s="10"/>
    </row>
    <row r="21" spans="1:49" ht="30" x14ac:dyDescent="0.25">
      <c r="B21" s="2" t="s">
        <v>456</v>
      </c>
      <c r="C21" s="2" t="s">
        <v>457</v>
      </c>
      <c r="D21" s="2" t="s">
        <v>425</v>
      </c>
      <c r="E21" s="2" t="s">
        <v>458</v>
      </c>
      <c r="F21" s="2" t="s">
        <v>459</v>
      </c>
      <c r="G21" s="23" t="s">
        <v>442</v>
      </c>
      <c r="H21" s="23" t="s">
        <v>442</v>
      </c>
      <c r="I21" s="2" t="s">
        <v>139</v>
      </c>
      <c r="J21" s="23" t="s">
        <v>442</v>
      </c>
      <c r="M21" s="2" t="s">
        <v>412</v>
      </c>
      <c r="N21" s="2" t="s">
        <v>417</v>
      </c>
      <c r="O21" s="2" t="s">
        <v>414</v>
      </c>
      <c r="P21" s="2" t="s">
        <v>418</v>
      </c>
      <c r="Q21" s="2" t="s">
        <v>419</v>
      </c>
      <c r="R21" s="2" t="s">
        <v>145</v>
      </c>
      <c r="S21" s="10" t="str">
        <f t="shared" si="3"/>
        <v>202511</v>
      </c>
      <c r="T21" s="23"/>
      <c r="U21" s="23" t="s">
        <v>403</v>
      </c>
      <c r="V21" s="23" t="s">
        <v>403</v>
      </c>
      <c r="W21" s="10" t="s">
        <v>139</v>
      </c>
      <c r="X21" s="23" t="s">
        <v>403</v>
      </c>
      <c r="AA21" s="2" t="s">
        <v>412</v>
      </c>
      <c r="AB21" s="2" t="s">
        <v>417</v>
      </c>
      <c r="AC21" s="2" t="s">
        <v>414</v>
      </c>
      <c r="AD21" s="2" t="s">
        <v>418</v>
      </c>
      <c r="AE21" s="2" t="s">
        <v>419</v>
      </c>
      <c r="AF21" s="2" t="s">
        <v>145</v>
      </c>
      <c r="AG21" s="10" t="str">
        <f t="shared" si="4"/>
        <v>202511</v>
      </c>
      <c r="AH21" s="23" t="s">
        <v>403</v>
      </c>
      <c r="AI21" s="23" t="s">
        <v>403</v>
      </c>
      <c r="AJ21" s="10" t="s">
        <v>139</v>
      </c>
      <c r="AK21" s="23" t="s">
        <v>403</v>
      </c>
      <c r="AM21" s="2" t="s">
        <v>412</v>
      </c>
      <c r="AN21" s="2" t="s">
        <v>417</v>
      </c>
      <c r="AO21" s="2" t="s">
        <v>414</v>
      </c>
      <c r="AP21" s="2" t="s">
        <v>418</v>
      </c>
      <c r="AQ21" s="2" t="s">
        <v>419</v>
      </c>
      <c r="AR21" s="10" t="str">
        <f t="shared" si="5"/>
        <v>202511</v>
      </c>
      <c r="AS21" s="23" t="s">
        <v>403</v>
      </c>
      <c r="AT21" s="23" t="s">
        <v>403</v>
      </c>
      <c r="AU21" s="10" t="s">
        <v>139</v>
      </c>
      <c r="AV21" s="23" t="s">
        <v>403</v>
      </c>
      <c r="AW21" s="10"/>
    </row>
    <row r="22" spans="1:49" ht="30" x14ac:dyDescent="0.25">
      <c r="B22" s="2" t="s">
        <v>460</v>
      </c>
      <c r="C22" s="2" t="s">
        <v>461</v>
      </c>
      <c r="D22" s="2" t="s">
        <v>425</v>
      </c>
      <c r="E22" s="2" t="s">
        <v>462</v>
      </c>
      <c r="F22" s="2" t="s">
        <v>463</v>
      </c>
      <c r="G22" s="23" t="s">
        <v>442</v>
      </c>
      <c r="H22" s="23" t="s">
        <v>442</v>
      </c>
      <c r="I22" s="2" t="s">
        <v>139</v>
      </c>
      <c r="J22" s="23" t="s">
        <v>442</v>
      </c>
      <c r="M22" s="2" t="s">
        <v>412</v>
      </c>
      <c r="N22" s="2" t="s">
        <v>420</v>
      </c>
      <c r="O22" s="2" t="s">
        <v>421</v>
      </c>
      <c r="P22" s="2" t="s">
        <v>422</v>
      </c>
      <c r="Q22" s="2" t="s">
        <v>419</v>
      </c>
      <c r="R22" s="2" t="s">
        <v>145</v>
      </c>
      <c r="S22" s="10" t="str">
        <f t="shared" si="3"/>
        <v>202511</v>
      </c>
      <c r="T22" s="23"/>
      <c r="U22" s="23" t="s">
        <v>403</v>
      </c>
      <c r="V22" s="23" t="s">
        <v>403</v>
      </c>
      <c r="W22" s="10" t="s">
        <v>139</v>
      </c>
      <c r="X22" s="23" t="s">
        <v>403</v>
      </c>
      <c r="AA22" s="2" t="s">
        <v>412</v>
      </c>
      <c r="AB22" s="2" t="s">
        <v>420</v>
      </c>
      <c r="AC22" s="2" t="s">
        <v>421</v>
      </c>
      <c r="AD22" s="2" t="s">
        <v>422</v>
      </c>
      <c r="AE22" s="2" t="s">
        <v>419</v>
      </c>
      <c r="AF22" s="2" t="s">
        <v>145</v>
      </c>
      <c r="AG22" s="10" t="str">
        <f t="shared" si="4"/>
        <v>202511</v>
      </c>
      <c r="AH22" s="23" t="s">
        <v>403</v>
      </c>
      <c r="AI22" s="23" t="s">
        <v>403</v>
      </c>
      <c r="AJ22" s="10" t="s">
        <v>139</v>
      </c>
      <c r="AK22" s="23" t="s">
        <v>403</v>
      </c>
      <c r="AM22" s="2" t="s">
        <v>412</v>
      </c>
      <c r="AN22" s="2" t="s">
        <v>420</v>
      </c>
      <c r="AO22" s="2" t="s">
        <v>421</v>
      </c>
      <c r="AP22" s="2" t="s">
        <v>422</v>
      </c>
      <c r="AQ22" s="2" t="s">
        <v>419</v>
      </c>
      <c r="AR22" s="10" t="str">
        <f t="shared" si="5"/>
        <v>202511</v>
      </c>
      <c r="AS22" s="23" t="s">
        <v>403</v>
      </c>
      <c r="AT22" s="23" t="s">
        <v>403</v>
      </c>
      <c r="AU22" s="10" t="s">
        <v>139</v>
      </c>
      <c r="AV22" s="23" t="s">
        <v>403</v>
      </c>
      <c r="AW22" s="10"/>
    </row>
    <row r="23" spans="1:49" ht="30" x14ac:dyDescent="0.25">
      <c r="B23" s="2" t="s">
        <v>460</v>
      </c>
      <c r="C23" s="2" t="s">
        <v>464</v>
      </c>
      <c r="D23" s="2" t="s">
        <v>209</v>
      </c>
      <c r="E23" s="2" t="s">
        <v>465</v>
      </c>
      <c r="F23" s="2" t="s">
        <v>466</v>
      </c>
      <c r="G23" s="23" t="s">
        <v>442</v>
      </c>
      <c r="H23" s="23" t="s">
        <v>442</v>
      </c>
      <c r="I23" s="2" t="s">
        <v>139</v>
      </c>
      <c r="J23" s="23" t="s">
        <v>442</v>
      </c>
      <c r="M23" s="2" t="s">
        <v>423</v>
      </c>
      <c r="N23" s="2" t="s">
        <v>424</v>
      </c>
      <c r="O23" s="2" t="s">
        <v>425</v>
      </c>
      <c r="P23" s="2" t="s">
        <v>426</v>
      </c>
      <c r="Q23" s="2" t="s">
        <v>427</v>
      </c>
      <c r="R23" s="2" t="s">
        <v>145</v>
      </c>
      <c r="S23" s="10" t="str">
        <f t="shared" si="3"/>
        <v>202511</v>
      </c>
      <c r="T23" s="23"/>
      <c r="U23" s="23" t="s">
        <v>403</v>
      </c>
      <c r="V23" s="23" t="s">
        <v>403</v>
      </c>
      <c r="W23" s="10" t="s">
        <v>139</v>
      </c>
      <c r="X23" s="23" t="s">
        <v>403</v>
      </c>
      <c r="AA23" s="2" t="s">
        <v>423</v>
      </c>
      <c r="AB23" s="2" t="s">
        <v>424</v>
      </c>
      <c r="AC23" s="2" t="s">
        <v>425</v>
      </c>
      <c r="AD23" s="2" t="s">
        <v>426</v>
      </c>
      <c r="AE23" s="2" t="s">
        <v>427</v>
      </c>
      <c r="AF23" s="2" t="s">
        <v>145</v>
      </c>
      <c r="AG23" s="10" t="str">
        <f t="shared" si="4"/>
        <v>202511</v>
      </c>
      <c r="AH23" s="23" t="s">
        <v>403</v>
      </c>
      <c r="AI23" s="23" t="s">
        <v>403</v>
      </c>
      <c r="AJ23" s="10" t="s">
        <v>139</v>
      </c>
      <c r="AK23" s="23" t="s">
        <v>403</v>
      </c>
      <c r="AM23" s="2" t="s">
        <v>423</v>
      </c>
      <c r="AN23" s="2" t="s">
        <v>424</v>
      </c>
      <c r="AO23" s="2" t="s">
        <v>425</v>
      </c>
      <c r="AP23" s="2" t="s">
        <v>426</v>
      </c>
      <c r="AQ23" s="2" t="s">
        <v>427</v>
      </c>
      <c r="AR23" s="10" t="str">
        <f t="shared" si="5"/>
        <v>202511</v>
      </c>
      <c r="AS23" s="23" t="s">
        <v>403</v>
      </c>
      <c r="AT23" s="23" t="s">
        <v>403</v>
      </c>
      <c r="AU23" s="10" t="s">
        <v>139</v>
      </c>
      <c r="AV23" s="23" t="s">
        <v>403</v>
      </c>
      <c r="AW23" s="10"/>
    </row>
    <row r="24" spans="1:49" ht="30" x14ac:dyDescent="0.25">
      <c r="B24" s="2" t="s">
        <v>467</v>
      </c>
      <c r="C24" s="2" t="s">
        <v>468</v>
      </c>
      <c r="D24" s="2" t="s">
        <v>212</v>
      </c>
      <c r="E24" s="2" t="s">
        <v>469</v>
      </c>
      <c r="F24" s="2" t="s">
        <v>470</v>
      </c>
      <c r="G24" s="23" t="s">
        <v>442</v>
      </c>
      <c r="H24" s="23" t="s">
        <v>442</v>
      </c>
      <c r="I24" s="2" t="s">
        <v>139</v>
      </c>
      <c r="J24" s="23" t="s">
        <v>442</v>
      </c>
      <c r="M24" s="2" t="s">
        <v>428</v>
      </c>
      <c r="N24" s="2" t="s">
        <v>429</v>
      </c>
      <c r="O24" s="2" t="s">
        <v>425</v>
      </c>
      <c r="P24" s="2" t="s">
        <v>430</v>
      </c>
      <c r="Q24" s="2" t="s">
        <v>427</v>
      </c>
      <c r="R24" s="2" t="s">
        <v>145</v>
      </c>
      <c r="S24" s="10" t="str">
        <f t="shared" si="3"/>
        <v>202511</v>
      </c>
      <c r="T24" s="23"/>
      <c r="U24" s="23" t="s">
        <v>403</v>
      </c>
      <c r="V24" s="23" t="s">
        <v>403</v>
      </c>
      <c r="W24" s="10" t="s">
        <v>139</v>
      </c>
      <c r="X24" s="23" t="s">
        <v>403</v>
      </c>
      <c r="AA24" s="2" t="s">
        <v>428</v>
      </c>
      <c r="AB24" s="2" t="s">
        <v>429</v>
      </c>
      <c r="AC24" s="2" t="s">
        <v>425</v>
      </c>
      <c r="AD24" s="2" t="s">
        <v>430</v>
      </c>
      <c r="AE24" s="2" t="s">
        <v>427</v>
      </c>
      <c r="AF24" s="2" t="s">
        <v>145</v>
      </c>
      <c r="AG24" s="10" t="str">
        <f t="shared" si="4"/>
        <v>202511</v>
      </c>
      <c r="AH24" s="23" t="s">
        <v>403</v>
      </c>
      <c r="AI24" s="23" t="s">
        <v>403</v>
      </c>
      <c r="AJ24" s="10" t="s">
        <v>139</v>
      </c>
      <c r="AK24" s="23" t="s">
        <v>403</v>
      </c>
      <c r="AM24" s="2" t="s">
        <v>428</v>
      </c>
      <c r="AN24" s="2" t="s">
        <v>429</v>
      </c>
      <c r="AO24" s="2" t="s">
        <v>425</v>
      </c>
      <c r="AP24" s="2" t="s">
        <v>430</v>
      </c>
      <c r="AQ24" s="2" t="s">
        <v>427</v>
      </c>
      <c r="AR24" s="10" t="str">
        <f t="shared" si="5"/>
        <v>202511</v>
      </c>
      <c r="AS24" s="23" t="s">
        <v>403</v>
      </c>
      <c r="AT24" s="23" t="s">
        <v>403</v>
      </c>
      <c r="AU24" s="10" t="s">
        <v>139</v>
      </c>
      <c r="AV24" s="23" t="s">
        <v>403</v>
      </c>
      <c r="AW24" s="10"/>
    </row>
    <row r="25" spans="1:49" ht="30" x14ac:dyDescent="0.25">
      <c r="M25" s="2" t="s">
        <v>428</v>
      </c>
      <c r="N25" s="2" t="s">
        <v>431</v>
      </c>
      <c r="O25" s="2" t="s">
        <v>425</v>
      </c>
      <c r="P25" s="2" t="s">
        <v>432</v>
      </c>
      <c r="Q25" s="2" t="s">
        <v>427</v>
      </c>
      <c r="R25" s="2" t="s">
        <v>145</v>
      </c>
      <c r="S25" s="10" t="str">
        <f t="shared" si="3"/>
        <v>202511</v>
      </c>
      <c r="T25" s="23"/>
      <c r="U25" s="23" t="s">
        <v>403</v>
      </c>
      <c r="V25" s="23" t="s">
        <v>403</v>
      </c>
      <c r="W25" s="10" t="s">
        <v>139</v>
      </c>
      <c r="X25" s="23" t="s">
        <v>403</v>
      </c>
      <c r="AA25" s="2" t="s">
        <v>428</v>
      </c>
      <c r="AB25" s="2" t="s">
        <v>431</v>
      </c>
      <c r="AC25" s="2" t="s">
        <v>425</v>
      </c>
      <c r="AD25" s="2" t="s">
        <v>432</v>
      </c>
      <c r="AE25" s="2" t="s">
        <v>427</v>
      </c>
      <c r="AF25" s="2" t="s">
        <v>145</v>
      </c>
      <c r="AG25" s="10" t="str">
        <f t="shared" si="4"/>
        <v>202511</v>
      </c>
      <c r="AH25" s="23" t="s">
        <v>403</v>
      </c>
      <c r="AI25" s="23" t="s">
        <v>403</v>
      </c>
      <c r="AJ25" s="10" t="s">
        <v>139</v>
      </c>
      <c r="AK25" s="23" t="s">
        <v>403</v>
      </c>
      <c r="AM25" s="2" t="s">
        <v>428</v>
      </c>
      <c r="AN25" s="2" t="s">
        <v>431</v>
      </c>
      <c r="AO25" s="2" t="s">
        <v>425</v>
      </c>
      <c r="AP25" s="2" t="s">
        <v>432</v>
      </c>
      <c r="AQ25" s="2" t="s">
        <v>427</v>
      </c>
      <c r="AR25" s="10" t="str">
        <f t="shared" si="5"/>
        <v>202511</v>
      </c>
      <c r="AS25" s="23" t="s">
        <v>403</v>
      </c>
      <c r="AT25" s="23" t="s">
        <v>403</v>
      </c>
      <c r="AU25" s="10" t="s">
        <v>139</v>
      </c>
      <c r="AV25" s="23" t="s">
        <v>403</v>
      </c>
      <c r="AW25" s="10"/>
    </row>
    <row r="26" spans="1:49" ht="30" x14ac:dyDescent="0.25">
      <c r="M26" s="2" t="s">
        <v>433</v>
      </c>
      <c r="N26" s="2" t="s">
        <v>434</v>
      </c>
      <c r="O26" s="2" t="s">
        <v>425</v>
      </c>
      <c r="P26" s="2" t="s">
        <v>435</v>
      </c>
      <c r="Q26" s="2" t="s">
        <v>427</v>
      </c>
      <c r="R26" s="2" t="s">
        <v>145</v>
      </c>
      <c r="S26" s="10" t="str">
        <f t="shared" si="3"/>
        <v>202511</v>
      </c>
      <c r="T26" s="23"/>
      <c r="U26" s="23" t="s">
        <v>403</v>
      </c>
      <c r="V26" s="23" t="s">
        <v>403</v>
      </c>
      <c r="W26" s="10" t="s">
        <v>139</v>
      </c>
      <c r="X26" s="23" t="s">
        <v>403</v>
      </c>
      <c r="AA26" s="2" t="s">
        <v>433</v>
      </c>
      <c r="AB26" s="2" t="s">
        <v>434</v>
      </c>
      <c r="AC26" s="2" t="s">
        <v>425</v>
      </c>
      <c r="AD26" s="2" t="s">
        <v>435</v>
      </c>
      <c r="AE26" s="2" t="s">
        <v>427</v>
      </c>
      <c r="AF26" s="2" t="s">
        <v>145</v>
      </c>
      <c r="AG26" s="10" t="str">
        <f t="shared" si="4"/>
        <v>202511</v>
      </c>
      <c r="AH26" s="23" t="s">
        <v>403</v>
      </c>
      <c r="AI26" s="23" t="s">
        <v>403</v>
      </c>
      <c r="AJ26" s="10" t="s">
        <v>139</v>
      </c>
      <c r="AK26" s="23" t="s">
        <v>403</v>
      </c>
      <c r="AM26" s="2" t="s">
        <v>433</v>
      </c>
      <c r="AN26" s="2" t="s">
        <v>434</v>
      </c>
      <c r="AO26" s="2" t="s">
        <v>425</v>
      </c>
      <c r="AP26" s="2" t="s">
        <v>435</v>
      </c>
      <c r="AQ26" s="2" t="s">
        <v>427</v>
      </c>
      <c r="AR26" s="10" t="str">
        <f t="shared" si="5"/>
        <v>202511</v>
      </c>
      <c r="AS26" s="23" t="s">
        <v>403</v>
      </c>
      <c r="AT26" s="23" t="s">
        <v>403</v>
      </c>
      <c r="AU26" s="10" t="s">
        <v>139</v>
      </c>
      <c r="AV26" s="23" t="s">
        <v>403</v>
      </c>
      <c r="AW26" s="10"/>
    </row>
    <row r="27" spans="1:49" ht="30" x14ac:dyDescent="0.25">
      <c r="M27" s="7" t="s">
        <v>438</v>
      </c>
      <c r="N27" s="7" t="s">
        <v>439</v>
      </c>
      <c r="O27" s="7" t="s">
        <v>212</v>
      </c>
      <c r="P27" s="7" t="s">
        <v>440</v>
      </c>
      <c r="Q27" s="7" t="s">
        <v>441</v>
      </c>
      <c r="R27" s="7" t="s">
        <v>145</v>
      </c>
      <c r="S27" s="14" t="str">
        <f t="shared" si="3"/>
        <v>202511</v>
      </c>
      <c r="T27" s="7"/>
      <c r="U27" s="25" t="s">
        <v>442</v>
      </c>
      <c r="V27" s="25" t="s">
        <v>442</v>
      </c>
      <c r="W27" s="14" t="s">
        <v>139</v>
      </c>
      <c r="X27" s="25" t="s">
        <v>442</v>
      </c>
      <c r="AA27" s="7" t="s">
        <v>438</v>
      </c>
      <c r="AB27" s="7" t="s">
        <v>439</v>
      </c>
      <c r="AC27" s="7" t="s">
        <v>212</v>
      </c>
      <c r="AD27" s="7" t="s">
        <v>440</v>
      </c>
      <c r="AE27" s="7" t="s">
        <v>441</v>
      </c>
      <c r="AF27" s="7" t="s">
        <v>145</v>
      </c>
      <c r="AG27" s="14" t="str">
        <f t="shared" si="4"/>
        <v>202511</v>
      </c>
      <c r="AH27" s="25" t="s">
        <v>442</v>
      </c>
      <c r="AI27" s="25" t="s">
        <v>442</v>
      </c>
      <c r="AJ27" s="14" t="s">
        <v>139</v>
      </c>
      <c r="AK27" s="25" t="s">
        <v>442</v>
      </c>
      <c r="AM27" s="7" t="s">
        <v>438</v>
      </c>
      <c r="AN27" s="7" t="s">
        <v>439</v>
      </c>
      <c r="AO27" s="7" t="s">
        <v>212</v>
      </c>
      <c r="AP27" s="7" t="s">
        <v>440</v>
      </c>
      <c r="AQ27" s="7" t="s">
        <v>441</v>
      </c>
      <c r="AR27" s="14" t="str">
        <f t="shared" si="5"/>
        <v>202511</v>
      </c>
      <c r="AS27" s="25" t="s">
        <v>442</v>
      </c>
      <c r="AT27" s="25" t="s">
        <v>442</v>
      </c>
      <c r="AU27" s="14" t="s">
        <v>139</v>
      </c>
      <c r="AV27" s="25" t="s">
        <v>442</v>
      </c>
      <c r="AW27" s="10"/>
    </row>
    <row r="28" spans="1:49" ht="30" x14ac:dyDescent="0.25">
      <c r="M28" s="7" t="s">
        <v>443</v>
      </c>
      <c r="N28" s="7" t="s">
        <v>444</v>
      </c>
      <c r="O28" s="7" t="s">
        <v>212</v>
      </c>
      <c r="P28" s="7" t="s">
        <v>445</v>
      </c>
      <c r="Q28" s="7" t="s">
        <v>446</v>
      </c>
      <c r="R28" s="7" t="s">
        <v>145</v>
      </c>
      <c r="S28" s="14" t="str">
        <f t="shared" si="3"/>
        <v>202511</v>
      </c>
      <c r="U28" s="25" t="s">
        <v>442</v>
      </c>
      <c r="V28" s="25" t="s">
        <v>442</v>
      </c>
      <c r="W28" s="14" t="s">
        <v>139</v>
      </c>
      <c r="X28" s="25" t="s">
        <v>442</v>
      </c>
      <c r="AA28" s="7" t="s">
        <v>443</v>
      </c>
      <c r="AB28" s="7" t="s">
        <v>444</v>
      </c>
      <c r="AC28" s="7" t="s">
        <v>212</v>
      </c>
      <c r="AD28" s="7" t="s">
        <v>445</v>
      </c>
      <c r="AE28" s="7" t="s">
        <v>446</v>
      </c>
      <c r="AF28" s="7" t="s">
        <v>145</v>
      </c>
      <c r="AG28" s="14" t="str">
        <f t="shared" si="4"/>
        <v>202511</v>
      </c>
      <c r="AH28" s="25" t="s">
        <v>442</v>
      </c>
      <c r="AI28" s="25" t="s">
        <v>442</v>
      </c>
      <c r="AJ28" s="14" t="s">
        <v>139</v>
      </c>
      <c r="AK28" s="25" t="s">
        <v>442</v>
      </c>
      <c r="AM28" s="7" t="s">
        <v>443</v>
      </c>
      <c r="AN28" s="7" t="s">
        <v>444</v>
      </c>
      <c r="AO28" s="7" t="s">
        <v>212</v>
      </c>
      <c r="AP28" s="7" t="s">
        <v>445</v>
      </c>
      <c r="AQ28" s="7" t="s">
        <v>446</v>
      </c>
      <c r="AR28" s="14" t="str">
        <f t="shared" si="5"/>
        <v>202511</v>
      </c>
      <c r="AS28" s="25" t="s">
        <v>442</v>
      </c>
      <c r="AT28" s="25" t="s">
        <v>442</v>
      </c>
      <c r="AU28" s="14" t="s">
        <v>139</v>
      </c>
      <c r="AV28" s="25" t="s">
        <v>442</v>
      </c>
      <c r="AW28" s="10"/>
    </row>
    <row r="29" spans="1:49" ht="30" x14ac:dyDescent="0.25">
      <c r="M29" s="7" t="s">
        <v>447</v>
      </c>
      <c r="N29" s="7" t="s">
        <v>448</v>
      </c>
      <c r="O29" s="7" t="s">
        <v>449</v>
      </c>
      <c r="P29" s="7" t="s">
        <v>450</v>
      </c>
      <c r="Q29" s="7" t="s">
        <v>451</v>
      </c>
      <c r="R29" s="7" t="s">
        <v>145</v>
      </c>
      <c r="S29" s="14" t="str">
        <f t="shared" si="3"/>
        <v>202511</v>
      </c>
      <c r="U29" s="25" t="s">
        <v>442</v>
      </c>
      <c r="V29" s="25" t="s">
        <v>442</v>
      </c>
      <c r="W29" s="14" t="s">
        <v>139</v>
      </c>
      <c r="X29" s="25" t="s">
        <v>442</v>
      </c>
      <c r="AA29" s="7" t="s">
        <v>447</v>
      </c>
      <c r="AB29" s="7" t="s">
        <v>448</v>
      </c>
      <c r="AC29" s="7" t="s">
        <v>449</v>
      </c>
      <c r="AD29" s="7" t="s">
        <v>450</v>
      </c>
      <c r="AE29" s="7" t="s">
        <v>451</v>
      </c>
      <c r="AF29" s="7" t="s">
        <v>145</v>
      </c>
      <c r="AG29" s="14" t="str">
        <f t="shared" si="4"/>
        <v>202511</v>
      </c>
      <c r="AH29" s="25" t="s">
        <v>442</v>
      </c>
      <c r="AI29" s="25" t="s">
        <v>442</v>
      </c>
      <c r="AJ29" s="14" t="s">
        <v>139</v>
      </c>
      <c r="AK29" s="25" t="s">
        <v>442</v>
      </c>
      <c r="AM29" s="7" t="s">
        <v>447</v>
      </c>
      <c r="AN29" s="7" t="s">
        <v>448</v>
      </c>
      <c r="AO29" s="7" t="s">
        <v>449</v>
      </c>
      <c r="AP29" s="7" t="s">
        <v>450</v>
      </c>
      <c r="AQ29" s="7" t="s">
        <v>451</v>
      </c>
      <c r="AR29" s="14" t="str">
        <f t="shared" si="5"/>
        <v>202511</v>
      </c>
      <c r="AS29" s="25" t="s">
        <v>442</v>
      </c>
      <c r="AT29" s="25" t="s">
        <v>442</v>
      </c>
      <c r="AU29" s="14" t="s">
        <v>139</v>
      </c>
      <c r="AV29" s="25" t="s">
        <v>442</v>
      </c>
      <c r="AW29" s="10"/>
    </row>
    <row r="30" spans="1:49" ht="30" x14ac:dyDescent="0.25">
      <c r="M30" s="7" t="s">
        <v>452</v>
      </c>
      <c r="N30" s="7" t="s">
        <v>453</v>
      </c>
      <c r="O30" s="7" t="s">
        <v>349</v>
      </c>
      <c r="P30" s="7" t="s">
        <v>454</v>
      </c>
      <c r="Q30" s="7" t="s">
        <v>455</v>
      </c>
      <c r="R30" s="7" t="s">
        <v>145</v>
      </c>
      <c r="S30" s="14" t="str">
        <f t="shared" si="3"/>
        <v>202511</v>
      </c>
      <c r="U30" s="25" t="s">
        <v>442</v>
      </c>
      <c r="V30" s="25" t="s">
        <v>442</v>
      </c>
      <c r="W30" s="14" t="s">
        <v>139</v>
      </c>
      <c r="X30" s="25" t="s">
        <v>442</v>
      </c>
      <c r="AA30" s="7" t="s">
        <v>452</v>
      </c>
      <c r="AB30" s="7" t="s">
        <v>453</v>
      </c>
      <c r="AC30" s="7" t="s">
        <v>349</v>
      </c>
      <c r="AD30" s="7" t="s">
        <v>454</v>
      </c>
      <c r="AE30" s="7" t="s">
        <v>455</v>
      </c>
      <c r="AF30" s="7" t="s">
        <v>145</v>
      </c>
      <c r="AG30" s="14" t="str">
        <f t="shared" si="4"/>
        <v>202511</v>
      </c>
      <c r="AH30" s="25" t="s">
        <v>442</v>
      </c>
      <c r="AI30" s="25" t="s">
        <v>442</v>
      </c>
      <c r="AJ30" s="14" t="s">
        <v>139</v>
      </c>
      <c r="AK30" s="25" t="s">
        <v>442</v>
      </c>
      <c r="AM30" s="7" t="s">
        <v>452</v>
      </c>
      <c r="AN30" s="7" t="s">
        <v>453</v>
      </c>
      <c r="AO30" s="7" t="s">
        <v>349</v>
      </c>
      <c r="AP30" s="7" t="s">
        <v>454</v>
      </c>
      <c r="AQ30" s="7" t="s">
        <v>455</v>
      </c>
      <c r="AR30" s="14" t="str">
        <f t="shared" si="5"/>
        <v>202511</v>
      </c>
      <c r="AS30" s="25" t="s">
        <v>442</v>
      </c>
      <c r="AT30" s="25" t="s">
        <v>442</v>
      </c>
      <c r="AU30" s="14" t="s">
        <v>139</v>
      </c>
      <c r="AV30" s="25" t="s">
        <v>442</v>
      </c>
      <c r="AW30" s="10"/>
    </row>
    <row r="31" spans="1:49" ht="30" x14ac:dyDescent="0.25">
      <c r="M31" s="7" t="s">
        <v>456</v>
      </c>
      <c r="N31" s="7" t="s">
        <v>457</v>
      </c>
      <c r="O31" s="7" t="s">
        <v>425</v>
      </c>
      <c r="P31" s="7" t="s">
        <v>458</v>
      </c>
      <c r="Q31" s="7" t="s">
        <v>459</v>
      </c>
      <c r="R31" s="7" t="s">
        <v>145</v>
      </c>
      <c r="S31" s="14" t="str">
        <f t="shared" si="3"/>
        <v>202511</v>
      </c>
      <c r="U31" s="25" t="s">
        <v>442</v>
      </c>
      <c r="V31" s="25" t="s">
        <v>442</v>
      </c>
      <c r="W31" s="14" t="s">
        <v>139</v>
      </c>
      <c r="X31" s="25" t="s">
        <v>442</v>
      </c>
      <c r="AA31" s="7" t="s">
        <v>456</v>
      </c>
      <c r="AB31" s="7" t="s">
        <v>457</v>
      </c>
      <c r="AC31" s="7" t="s">
        <v>425</v>
      </c>
      <c r="AD31" s="7" t="s">
        <v>458</v>
      </c>
      <c r="AE31" s="7" t="s">
        <v>459</v>
      </c>
      <c r="AF31" s="7" t="s">
        <v>145</v>
      </c>
      <c r="AG31" s="14" t="str">
        <f t="shared" si="4"/>
        <v>202511</v>
      </c>
      <c r="AH31" s="25" t="s">
        <v>442</v>
      </c>
      <c r="AI31" s="25" t="s">
        <v>442</v>
      </c>
      <c r="AJ31" s="14" t="s">
        <v>139</v>
      </c>
      <c r="AK31" s="25" t="s">
        <v>442</v>
      </c>
      <c r="AM31" s="7" t="s">
        <v>456</v>
      </c>
      <c r="AN31" s="7" t="s">
        <v>457</v>
      </c>
      <c r="AO31" s="7" t="s">
        <v>425</v>
      </c>
      <c r="AP31" s="7" t="s">
        <v>458</v>
      </c>
      <c r="AQ31" s="7" t="s">
        <v>459</v>
      </c>
      <c r="AR31" s="14" t="str">
        <f t="shared" si="5"/>
        <v>202511</v>
      </c>
      <c r="AS31" s="25" t="s">
        <v>442</v>
      </c>
      <c r="AT31" s="25" t="s">
        <v>442</v>
      </c>
      <c r="AU31" s="14" t="s">
        <v>139</v>
      </c>
      <c r="AV31" s="25" t="s">
        <v>442</v>
      </c>
      <c r="AW31" s="10"/>
    </row>
    <row r="32" spans="1:49" ht="30" x14ac:dyDescent="0.25">
      <c r="M32" s="7" t="s">
        <v>460</v>
      </c>
      <c r="N32" s="7" t="s">
        <v>461</v>
      </c>
      <c r="O32" s="7" t="s">
        <v>425</v>
      </c>
      <c r="P32" s="7" t="s">
        <v>462</v>
      </c>
      <c r="Q32" s="7" t="s">
        <v>463</v>
      </c>
      <c r="R32" s="7" t="s">
        <v>145</v>
      </c>
      <c r="S32" s="14" t="str">
        <f t="shared" si="3"/>
        <v>202511</v>
      </c>
      <c r="U32" s="25" t="s">
        <v>442</v>
      </c>
      <c r="V32" s="25" t="s">
        <v>442</v>
      </c>
      <c r="W32" s="14" t="s">
        <v>139</v>
      </c>
      <c r="X32" s="25" t="s">
        <v>442</v>
      </c>
      <c r="AA32" s="7" t="s">
        <v>460</v>
      </c>
      <c r="AB32" s="7" t="s">
        <v>461</v>
      </c>
      <c r="AC32" s="7" t="s">
        <v>425</v>
      </c>
      <c r="AD32" s="7" t="s">
        <v>462</v>
      </c>
      <c r="AE32" s="7" t="s">
        <v>463</v>
      </c>
      <c r="AF32" s="7" t="s">
        <v>145</v>
      </c>
      <c r="AG32" s="14" t="str">
        <f t="shared" si="4"/>
        <v>202511</v>
      </c>
      <c r="AH32" s="25" t="s">
        <v>442</v>
      </c>
      <c r="AI32" s="25" t="s">
        <v>442</v>
      </c>
      <c r="AJ32" s="14" t="s">
        <v>139</v>
      </c>
      <c r="AK32" s="25" t="s">
        <v>442</v>
      </c>
      <c r="AM32" s="7" t="s">
        <v>460</v>
      </c>
      <c r="AN32" s="7" t="s">
        <v>461</v>
      </c>
      <c r="AO32" s="7" t="s">
        <v>425</v>
      </c>
      <c r="AP32" s="7" t="s">
        <v>462</v>
      </c>
      <c r="AQ32" s="7" t="s">
        <v>463</v>
      </c>
      <c r="AR32" s="14" t="str">
        <f t="shared" si="5"/>
        <v>202511</v>
      </c>
      <c r="AS32" s="25" t="s">
        <v>442</v>
      </c>
      <c r="AT32" s="25" t="s">
        <v>442</v>
      </c>
      <c r="AU32" s="14" t="s">
        <v>139</v>
      </c>
      <c r="AV32" s="25" t="s">
        <v>442</v>
      </c>
      <c r="AW32" s="10"/>
    </row>
    <row r="33" spans="1:49" ht="30" x14ac:dyDescent="0.25">
      <c r="M33" s="7" t="s">
        <v>460</v>
      </c>
      <c r="N33" s="7" t="s">
        <v>464</v>
      </c>
      <c r="O33" s="7" t="s">
        <v>209</v>
      </c>
      <c r="P33" s="7" t="s">
        <v>465</v>
      </c>
      <c r="Q33" s="7" t="s">
        <v>466</v>
      </c>
      <c r="R33" s="7" t="s">
        <v>145</v>
      </c>
      <c r="S33" s="14" t="str">
        <f t="shared" si="3"/>
        <v>202511</v>
      </c>
      <c r="U33" s="25" t="s">
        <v>442</v>
      </c>
      <c r="V33" s="25" t="s">
        <v>442</v>
      </c>
      <c r="W33" s="14" t="s">
        <v>139</v>
      </c>
      <c r="X33" s="25" t="s">
        <v>442</v>
      </c>
      <c r="AA33" s="7" t="s">
        <v>460</v>
      </c>
      <c r="AB33" s="7" t="s">
        <v>464</v>
      </c>
      <c r="AC33" s="7" t="s">
        <v>209</v>
      </c>
      <c r="AD33" s="7" t="s">
        <v>465</v>
      </c>
      <c r="AE33" s="7" t="s">
        <v>466</v>
      </c>
      <c r="AF33" s="7" t="s">
        <v>145</v>
      </c>
      <c r="AG33" s="14" t="str">
        <f t="shared" si="4"/>
        <v>202511</v>
      </c>
      <c r="AH33" s="25" t="s">
        <v>442</v>
      </c>
      <c r="AI33" s="25" t="s">
        <v>442</v>
      </c>
      <c r="AJ33" s="14" t="s">
        <v>139</v>
      </c>
      <c r="AK33" s="25" t="s">
        <v>442</v>
      </c>
      <c r="AM33" s="7" t="s">
        <v>460</v>
      </c>
      <c r="AN33" s="7" t="s">
        <v>464</v>
      </c>
      <c r="AO33" s="7" t="s">
        <v>209</v>
      </c>
      <c r="AP33" s="7" t="s">
        <v>465</v>
      </c>
      <c r="AQ33" s="7" t="s">
        <v>466</v>
      </c>
      <c r="AR33" s="14" t="str">
        <f t="shared" si="5"/>
        <v>202511</v>
      </c>
      <c r="AS33" s="25" t="s">
        <v>442</v>
      </c>
      <c r="AT33" s="25" t="s">
        <v>442</v>
      </c>
      <c r="AU33" s="14" t="s">
        <v>139</v>
      </c>
      <c r="AV33" s="25" t="s">
        <v>442</v>
      </c>
      <c r="AW33" s="10"/>
    </row>
    <row r="34" spans="1:49" ht="30" x14ac:dyDescent="0.25">
      <c r="M34" s="7" t="s">
        <v>467</v>
      </c>
      <c r="N34" s="7" t="s">
        <v>468</v>
      </c>
      <c r="O34" s="7" t="s">
        <v>212</v>
      </c>
      <c r="P34" s="7" t="s">
        <v>469</v>
      </c>
      <c r="Q34" s="7" t="s">
        <v>470</v>
      </c>
      <c r="R34" s="7" t="s">
        <v>145</v>
      </c>
      <c r="S34" s="14" t="str">
        <f t="shared" si="3"/>
        <v>202511</v>
      </c>
      <c r="U34" s="25" t="s">
        <v>442</v>
      </c>
      <c r="V34" s="25" t="s">
        <v>442</v>
      </c>
      <c r="W34" s="14" t="s">
        <v>139</v>
      </c>
      <c r="X34" s="25" t="s">
        <v>442</v>
      </c>
      <c r="AA34" s="7" t="s">
        <v>467</v>
      </c>
      <c r="AB34" s="7" t="s">
        <v>468</v>
      </c>
      <c r="AC34" s="7" t="s">
        <v>212</v>
      </c>
      <c r="AD34" s="7" t="s">
        <v>469</v>
      </c>
      <c r="AE34" s="7" t="s">
        <v>470</v>
      </c>
      <c r="AF34" s="7" t="s">
        <v>145</v>
      </c>
      <c r="AG34" s="14" t="str">
        <f t="shared" si="4"/>
        <v>202511</v>
      </c>
      <c r="AH34" s="25" t="s">
        <v>442</v>
      </c>
      <c r="AI34" s="25" t="s">
        <v>442</v>
      </c>
      <c r="AJ34" s="14" t="s">
        <v>139</v>
      </c>
      <c r="AK34" s="25" t="s">
        <v>442</v>
      </c>
      <c r="AM34" s="7" t="s">
        <v>467</v>
      </c>
      <c r="AN34" s="7" t="s">
        <v>468</v>
      </c>
      <c r="AO34" s="7" t="s">
        <v>212</v>
      </c>
      <c r="AP34" s="7" t="s">
        <v>469</v>
      </c>
      <c r="AQ34" s="7" t="s">
        <v>470</v>
      </c>
      <c r="AR34" s="14" t="str">
        <f t="shared" si="5"/>
        <v>202511</v>
      </c>
      <c r="AS34" s="25" t="s">
        <v>442</v>
      </c>
      <c r="AT34" s="25" t="s">
        <v>442</v>
      </c>
      <c r="AU34" s="14" t="s">
        <v>139</v>
      </c>
      <c r="AV34" s="25" t="s">
        <v>442</v>
      </c>
      <c r="AW34" s="10"/>
    </row>
    <row r="35" spans="1:49" s="6" customFormat="1" x14ac:dyDescent="0.25">
      <c r="A35" s="44" t="s">
        <v>393</v>
      </c>
      <c r="B35" s="9" t="s">
        <v>436</v>
      </c>
      <c r="L35" s="40"/>
      <c r="M35" s="9" t="s">
        <v>83</v>
      </c>
      <c r="S35" s="13"/>
      <c r="T35" s="13"/>
      <c r="U35" s="13"/>
      <c r="V35" s="13"/>
      <c r="W35" s="13"/>
      <c r="X35" s="13"/>
      <c r="Z35" s="40"/>
      <c r="AA35" s="9" t="s">
        <v>83</v>
      </c>
      <c r="AG35" s="13"/>
      <c r="AH35" s="13"/>
      <c r="AI35" s="13"/>
      <c r="AJ35" s="13"/>
      <c r="AK35" s="13"/>
      <c r="AL35" s="40"/>
      <c r="AM35" s="9" t="s">
        <v>83</v>
      </c>
      <c r="AR35" s="13"/>
      <c r="AS35" s="13"/>
      <c r="AT35" s="13"/>
      <c r="AU35" s="13"/>
      <c r="AV35" s="13"/>
    </row>
    <row r="36" spans="1:49" s="19" customFormat="1" ht="30" x14ac:dyDescent="0.25">
      <c r="A36" s="20" t="s">
        <v>471</v>
      </c>
      <c r="B36" s="19" t="s">
        <v>472</v>
      </c>
      <c r="C36" s="19" t="s">
        <v>473</v>
      </c>
      <c r="D36" s="19" t="s">
        <v>212</v>
      </c>
      <c r="E36" s="19" t="s">
        <v>474</v>
      </c>
      <c r="F36" s="19" t="s">
        <v>475</v>
      </c>
      <c r="G36" s="23" t="s">
        <v>476</v>
      </c>
      <c r="H36" s="23" t="s">
        <v>476</v>
      </c>
      <c r="I36" s="19" t="s">
        <v>190</v>
      </c>
      <c r="J36" s="23" t="s">
        <v>476</v>
      </c>
      <c r="L36" s="40"/>
      <c r="M36" s="2" t="s">
        <v>398</v>
      </c>
      <c r="N36" s="2" t="s">
        <v>399</v>
      </c>
      <c r="O36" s="2" t="s">
        <v>400</v>
      </c>
      <c r="P36" s="2" t="s">
        <v>401</v>
      </c>
      <c r="Q36" s="2" t="s">
        <v>402</v>
      </c>
      <c r="R36" s="2" t="s">
        <v>145</v>
      </c>
      <c r="S36" s="10" t="str">
        <f t="shared" ref="S36:S63" si="6">YEAR(Q36) &amp; RIGHT("0" &amp; MONTH(Q36), 2)</f>
        <v>202511</v>
      </c>
      <c r="T36" s="2"/>
      <c r="U36" s="23" t="s">
        <v>403</v>
      </c>
      <c r="V36" s="23" t="s">
        <v>403</v>
      </c>
      <c r="W36" s="10" t="s">
        <v>139</v>
      </c>
      <c r="X36" s="23" t="s">
        <v>403</v>
      </c>
      <c r="Y36" s="2"/>
      <c r="Z36" s="40"/>
      <c r="AA36" s="2" t="s">
        <v>398</v>
      </c>
      <c r="AB36" s="2" t="s">
        <v>399</v>
      </c>
      <c r="AC36" s="2" t="s">
        <v>400</v>
      </c>
      <c r="AD36" s="2" t="s">
        <v>401</v>
      </c>
      <c r="AE36" s="2" t="s">
        <v>402</v>
      </c>
      <c r="AF36" s="2" t="s">
        <v>145</v>
      </c>
      <c r="AG36" s="10" t="str">
        <f t="shared" ref="AG36:AG63" si="7">YEAR(AE36) &amp; RIGHT("0" &amp; MONTH(AE36), 2)</f>
        <v>202511</v>
      </c>
      <c r="AH36" s="23" t="s">
        <v>403</v>
      </c>
      <c r="AI36" s="23" t="s">
        <v>403</v>
      </c>
      <c r="AJ36" s="10" t="s">
        <v>139</v>
      </c>
      <c r="AK36" s="23" t="s">
        <v>403</v>
      </c>
      <c r="AL36" s="40"/>
      <c r="AM36" s="2" t="s">
        <v>398</v>
      </c>
      <c r="AN36" s="2" t="s">
        <v>399</v>
      </c>
      <c r="AO36" s="2" t="s">
        <v>400</v>
      </c>
      <c r="AP36" s="2" t="s">
        <v>401</v>
      </c>
      <c r="AQ36" s="2" t="s">
        <v>402</v>
      </c>
      <c r="AR36" s="10" t="str">
        <f t="shared" ref="AR36:AR63" si="8">YEAR(AQ36) &amp; RIGHT("0" &amp; MONTH(AQ36), 2)</f>
        <v>202511</v>
      </c>
      <c r="AS36" s="23" t="s">
        <v>403</v>
      </c>
      <c r="AT36" s="23" t="s">
        <v>403</v>
      </c>
      <c r="AU36" s="10" t="s">
        <v>139</v>
      </c>
      <c r="AV36" s="23" t="s">
        <v>403</v>
      </c>
    </row>
    <row r="37" spans="1:49" s="19" customFormat="1" ht="30" x14ac:dyDescent="0.25">
      <c r="B37" s="19" t="s">
        <v>477</v>
      </c>
      <c r="C37" s="19" t="s">
        <v>478</v>
      </c>
      <c r="D37" s="19" t="s">
        <v>212</v>
      </c>
      <c r="E37" s="19" t="s">
        <v>479</v>
      </c>
      <c r="F37" s="19" t="s">
        <v>475</v>
      </c>
      <c r="G37" s="23" t="s">
        <v>476</v>
      </c>
      <c r="H37" s="23" t="s">
        <v>476</v>
      </c>
      <c r="I37" s="19" t="s">
        <v>190</v>
      </c>
      <c r="J37" s="23" t="s">
        <v>476</v>
      </c>
      <c r="L37" s="40"/>
      <c r="M37" s="2" t="s">
        <v>398</v>
      </c>
      <c r="N37" s="2" t="s">
        <v>404</v>
      </c>
      <c r="O37" s="2" t="s">
        <v>405</v>
      </c>
      <c r="P37" s="2" t="s">
        <v>406</v>
      </c>
      <c r="Q37" s="2" t="s">
        <v>407</v>
      </c>
      <c r="R37" s="2" t="s">
        <v>145</v>
      </c>
      <c r="S37" s="10" t="str">
        <f t="shared" si="6"/>
        <v>202511</v>
      </c>
      <c r="T37" s="2"/>
      <c r="U37" s="23" t="s">
        <v>403</v>
      </c>
      <c r="V37" s="23" t="s">
        <v>403</v>
      </c>
      <c r="W37" s="10" t="s">
        <v>139</v>
      </c>
      <c r="X37" s="23" t="s">
        <v>403</v>
      </c>
      <c r="Y37" s="2"/>
      <c r="Z37" s="40"/>
      <c r="AA37" s="2" t="s">
        <v>398</v>
      </c>
      <c r="AB37" s="2" t="s">
        <v>404</v>
      </c>
      <c r="AC37" s="2" t="s">
        <v>405</v>
      </c>
      <c r="AD37" s="2" t="s">
        <v>406</v>
      </c>
      <c r="AE37" s="2" t="s">
        <v>407</v>
      </c>
      <c r="AF37" s="2" t="s">
        <v>145</v>
      </c>
      <c r="AG37" s="10" t="str">
        <f t="shared" si="7"/>
        <v>202511</v>
      </c>
      <c r="AH37" s="23" t="s">
        <v>403</v>
      </c>
      <c r="AI37" s="23" t="s">
        <v>403</v>
      </c>
      <c r="AJ37" s="10" t="s">
        <v>139</v>
      </c>
      <c r="AK37" s="23" t="s">
        <v>403</v>
      </c>
      <c r="AL37" s="40"/>
      <c r="AM37" s="2" t="s">
        <v>398</v>
      </c>
      <c r="AN37" s="2" t="s">
        <v>404</v>
      </c>
      <c r="AO37" s="2" t="s">
        <v>405</v>
      </c>
      <c r="AP37" s="2" t="s">
        <v>406</v>
      </c>
      <c r="AQ37" s="2" t="s">
        <v>407</v>
      </c>
      <c r="AR37" s="10" t="str">
        <f t="shared" si="8"/>
        <v>202511</v>
      </c>
      <c r="AS37" s="23" t="s">
        <v>403</v>
      </c>
      <c r="AT37" s="23" t="s">
        <v>403</v>
      </c>
      <c r="AU37" s="10" t="s">
        <v>139</v>
      </c>
      <c r="AV37" s="23" t="s">
        <v>403</v>
      </c>
    </row>
    <row r="38" spans="1:49" s="19" customFormat="1" ht="30" x14ac:dyDescent="0.25">
      <c r="B38" s="19" t="s">
        <v>480</v>
      </c>
      <c r="C38" s="19" t="s">
        <v>481</v>
      </c>
      <c r="D38" s="19" t="s">
        <v>212</v>
      </c>
      <c r="E38" s="19" t="s">
        <v>482</v>
      </c>
      <c r="F38" s="19" t="s">
        <v>483</v>
      </c>
      <c r="G38" s="23" t="s">
        <v>476</v>
      </c>
      <c r="H38" s="23" t="s">
        <v>476</v>
      </c>
      <c r="I38" s="19" t="s">
        <v>190</v>
      </c>
      <c r="J38" s="23" t="s">
        <v>476</v>
      </c>
      <c r="L38" s="40"/>
      <c r="M38" s="2" t="s">
        <v>408</v>
      </c>
      <c r="N38" s="2" t="s">
        <v>409</v>
      </c>
      <c r="O38" s="2" t="s">
        <v>209</v>
      </c>
      <c r="P38" s="2" t="s">
        <v>410</v>
      </c>
      <c r="Q38" s="2" t="s">
        <v>411</v>
      </c>
      <c r="R38" s="2" t="s">
        <v>145</v>
      </c>
      <c r="S38" s="10" t="str">
        <f t="shared" si="6"/>
        <v>202511</v>
      </c>
      <c r="T38" s="2"/>
      <c r="U38" s="23" t="s">
        <v>403</v>
      </c>
      <c r="V38" s="23" t="s">
        <v>403</v>
      </c>
      <c r="W38" s="10" t="s">
        <v>139</v>
      </c>
      <c r="X38" s="23" t="s">
        <v>403</v>
      </c>
      <c r="Y38" s="2"/>
      <c r="Z38" s="40"/>
      <c r="AA38" s="2" t="s">
        <v>408</v>
      </c>
      <c r="AB38" s="2" t="s">
        <v>409</v>
      </c>
      <c r="AC38" s="2" t="s">
        <v>209</v>
      </c>
      <c r="AD38" s="2" t="s">
        <v>410</v>
      </c>
      <c r="AE38" s="2" t="s">
        <v>411</v>
      </c>
      <c r="AF38" s="2" t="s">
        <v>145</v>
      </c>
      <c r="AG38" s="10" t="str">
        <f t="shared" si="7"/>
        <v>202511</v>
      </c>
      <c r="AH38" s="23" t="s">
        <v>403</v>
      </c>
      <c r="AI38" s="23" t="s">
        <v>403</v>
      </c>
      <c r="AJ38" s="10" t="s">
        <v>139</v>
      </c>
      <c r="AK38" s="23" t="s">
        <v>403</v>
      </c>
      <c r="AL38" s="40"/>
      <c r="AM38" s="2" t="s">
        <v>408</v>
      </c>
      <c r="AN38" s="2" t="s">
        <v>409</v>
      </c>
      <c r="AO38" s="2" t="s">
        <v>209</v>
      </c>
      <c r="AP38" s="2" t="s">
        <v>410</v>
      </c>
      <c r="AQ38" s="2" t="s">
        <v>411</v>
      </c>
      <c r="AR38" s="10" t="str">
        <f t="shared" si="8"/>
        <v>202511</v>
      </c>
      <c r="AS38" s="23" t="s">
        <v>403</v>
      </c>
      <c r="AT38" s="23" t="s">
        <v>403</v>
      </c>
      <c r="AU38" s="10" t="s">
        <v>139</v>
      </c>
      <c r="AV38" s="23" t="s">
        <v>403</v>
      </c>
    </row>
    <row r="39" spans="1:49" s="19" customFormat="1" ht="30" x14ac:dyDescent="0.25">
      <c r="B39" s="19" t="s">
        <v>480</v>
      </c>
      <c r="C39" s="19" t="s">
        <v>484</v>
      </c>
      <c r="D39" s="19" t="s">
        <v>212</v>
      </c>
      <c r="E39" s="19" t="s">
        <v>485</v>
      </c>
      <c r="F39" s="19" t="s">
        <v>483</v>
      </c>
      <c r="G39" s="23" t="s">
        <v>476</v>
      </c>
      <c r="H39" s="23" t="s">
        <v>476</v>
      </c>
      <c r="I39" s="19" t="s">
        <v>190</v>
      </c>
      <c r="J39" s="23" t="s">
        <v>476</v>
      </c>
      <c r="L39" s="40"/>
      <c r="M39" s="2" t="s">
        <v>412</v>
      </c>
      <c r="N39" s="2" t="s">
        <v>413</v>
      </c>
      <c r="O39" s="2" t="s">
        <v>414</v>
      </c>
      <c r="P39" s="2" t="s">
        <v>415</v>
      </c>
      <c r="Q39" s="2" t="s">
        <v>416</v>
      </c>
      <c r="R39" s="2" t="s">
        <v>145</v>
      </c>
      <c r="S39" s="10" t="str">
        <f t="shared" si="6"/>
        <v>202511</v>
      </c>
      <c r="T39" s="2"/>
      <c r="U39" s="23" t="s">
        <v>403</v>
      </c>
      <c r="V39" s="23" t="s">
        <v>403</v>
      </c>
      <c r="W39" s="10" t="s">
        <v>139</v>
      </c>
      <c r="X39" s="23" t="s">
        <v>403</v>
      </c>
      <c r="Y39" s="2"/>
      <c r="Z39" s="40"/>
      <c r="AA39" s="2" t="s">
        <v>412</v>
      </c>
      <c r="AB39" s="2" t="s">
        <v>413</v>
      </c>
      <c r="AC39" s="2" t="s">
        <v>414</v>
      </c>
      <c r="AD39" s="2" t="s">
        <v>415</v>
      </c>
      <c r="AE39" s="2" t="s">
        <v>416</v>
      </c>
      <c r="AF39" s="2" t="s">
        <v>145</v>
      </c>
      <c r="AG39" s="10" t="str">
        <f t="shared" si="7"/>
        <v>202511</v>
      </c>
      <c r="AH39" s="23" t="s">
        <v>403</v>
      </c>
      <c r="AI39" s="23" t="s">
        <v>403</v>
      </c>
      <c r="AJ39" s="10" t="s">
        <v>139</v>
      </c>
      <c r="AK39" s="23" t="s">
        <v>403</v>
      </c>
      <c r="AL39" s="40"/>
      <c r="AM39" s="2" t="s">
        <v>412</v>
      </c>
      <c r="AN39" s="2" t="s">
        <v>413</v>
      </c>
      <c r="AO39" s="2" t="s">
        <v>414</v>
      </c>
      <c r="AP39" s="2" t="s">
        <v>415</v>
      </c>
      <c r="AQ39" s="2" t="s">
        <v>416</v>
      </c>
      <c r="AR39" s="10" t="str">
        <f t="shared" si="8"/>
        <v>202511</v>
      </c>
      <c r="AS39" s="23" t="s">
        <v>403</v>
      </c>
      <c r="AT39" s="23" t="s">
        <v>403</v>
      </c>
      <c r="AU39" s="10" t="s">
        <v>139</v>
      </c>
      <c r="AV39" s="23" t="s">
        <v>403</v>
      </c>
    </row>
    <row r="40" spans="1:49" s="19" customFormat="1" ht="30" x14ac:dyDescent="0.25">
      <c r="B40" s="19" t="s">
        <v>486</v>
      </c>
      <c r="C40" s="19" t="s">
        <v>487</v>
      </c>
      <c r="D40" s="19" t="s">
        <v>212</v>
      </c>
      <c r="E40" s="19" t="s">
        <v>488</v>
      </c>
      <c r="F40" s="19" t="s">
        <v>483</v>
      </c>
      <c r="G40" s="23" t="s">
        <v>476</v>
      </c>
      <c r="H40" s="23" t="s">
        <v>476</v>
      </c>
      <c r="I40" s="19" t="s">
        <v>190</v>
      </c>
      <c r="J40" s="23" t="s">
        <v>476</v>
      </c>
      <c r="L40" s="40"/>
      <c r="M40" s="2" t="s">
        <v>412</v>
      </c>
      <c r="N40" s="2" t="s">
        <v>417</v>
      </c>
      <c r="O40" s="2" t="s">
        <v>414</v>
      </c>
      <c r="P40" s="2" t="s">
        <v>418</v>
      </c>
      <c r="Q40" s="2" t="s">
        <v>419</v>
      </c>
      <c r="R40" s="2" t="s">
        <v>145</v>
      </c>
      <c r="S40" s="10" t="str">
        <f t="shared" si="6"/>
        <v>202511</v>
      </c>
      <c r="T40" s="2"/>
      <c r="U40" s="23" t="s">
        <v>403</v>
      </c>
      <c r="V40" s="23" t="s">
        <v>403</v>
      </c>
      <c r="W40" s="10" t="s">
        <v>139</v>
      </c>
      <c r="X40" s="23" t="s">
        <v>403</v>
      </c>
      <c r="Y40" s="2"/>
      <c r="Z40" s="40"/>
      <c r="AA40" s="2" t="s">
        <v>412</v>
      </c>
      <c r="AB40" s="2" t="s">
        <v>417</v>
      </c>
      <c r="AC40" s="2" t="s">
        <v>414</v>
      </c>
      <c r="AD40" s="2" t="s">
        <v>418</v>
      </c>
      <c r="AE40" s="2" t="s">
        <v>419</v>
      </c>
      <c r="AF40" s="2" t="s">
        <v>145</v>
      </c>
      <c r="AG40" s="10" t="str">
        <f t="shared" si="7"/>
        <v>202511</v>
      </c>
      <c r="AH40" s="23" t="s">
        <v>403</v>
      </c>
      <c r="AI40" s="23" t="s">
        <v>403</v>
      </c>
      <c r="AJ40" s="10" t="s">
        <v>139</v>
      </c>
      <c r="AK40" s="23" t="s">
        <v>403</v>
      </c>
      <c r="AL40" s="40"/>
      <c r="AM40" s="2" t="s">
        <v>412</v>
      </c>
      <c r="AN40" s="2" t="s">
        <v>417</v>
      </c>
      <c r="AO40" s="2" t="s">
        <v>414</v>
      </c>
      <c r="AP40" s="2" t="s">
        <v>418</v>
      </c>
      <c r="AQ40" s="2" t="s">
        <v>419</v>
      </c>
      <c r="AR40" s="10" t="str">
        <f t="shared" si="8"/>
        <v>202511</v>
      </c>
      <c r="AS40" s="23" t="s">
        <v>403</v>
      </c>
      <c r="AT40" s="23" t="s">
        <v>403</v>
      </c>
      <c r="AU40" s="10" t="s">
        <v>139</v>
      </c>
      <c r="AV40" s="23" t="s">
        <v>403</v>
      </c>
    </row>
    <row r="41" spans="1:49" s="19" customFormat="1" ht="30" x14ac:dyDescent="0.25">
      <c r="B41" s="19" t="s">
        <v>486</v>
      </c>
      <c r="C41" s="19" t="s">
        <v>489</v>
      </c>
      <c r="D41" s="19" t="s">
        <v>212</v>
      </c>
      <c r="E41" s="19" t="s">
        <v>490</v>
      </c>
      <c r="F41" s="19" t="s">
        <v>483</v>
      </c>
      <c r="G41" s="23" t="s">
        <v>476</v>
      </c>
      <c r="H41" s="23" t="s">
        <v>476</v>
      </c>
      <c r="I41" s="19" t="s">
        <v>190</v>
      </c>
      <c r="J41" s="23" t="s">
        <v>476</v>
      </c>
      <c r="L41" s="40"/>
      <c r="M41" s="2" t="s">
        <v>412</v>
      </c>
      <c r="N41" s="2" t="s">
        <v>420</v>
      </c>
      <c r="O41" s="2" t="s">
        <v>421</v>
      </c>
      <c r="P41" s="2" t="s">
        <v>422</v>
      </c>
      <c r="Q41" s="2" t="s">
        <v>419</v>
      </c>
      <c r="R41" s="2" t="s">
        <v>145</v>
      </c>
      <c r="S41" s="10" t="str">
        <f t="shared" si="6"/>
        <v>202511</v>
      </c>
      <c r="T41" s="2"/>
      <c r="U41" s="23" t="s">
        <v>403</v>
      </c>
      <c r="V41" s="23" t="s">
        <v>403</v>
      </c>
      <c r="W41" s="10" t="s">
        <v>139</v>
      </c>
      <c r="X41" s="23" t="s">
        <v>403</v>
      </c>
      <c r="Y41" s="2"/>
      <c r="Z41" s="40"/>
      <c r="AA41" s="2" t="s">
        <v>412</v>
      </c>
      <c r="AB41" s="2" t="s">
        <v>420</v>
      </c>
      <c r="AC41" s="2" t="s">
        <v>421</v>
      </c>
      <c r="AD41" s="2" t="s">
        <v>422</v>
      </c>
      <c r="AE41" s="2" t="s">
        <v>419</v>
      </c>
      <c r="AF41" s="2" t="s">
        <v>145</v>
      </c>
      <c r="AG41" s="10" t="str">
        <f t="shared" si="7"/>
        <v>202511</v>
      </c>
      <c r="AH41" s="23" t="s">
        <v>403</v>
      </c>
      <c r="AI41" s="23" t="s">
        <v>403</v>
      </c>
      <c r="AJ41" s="10" t="s">
        <v>139</v>
      </c>
      <c r="AK41" s="23" t="s">
        <v>403</v>
      </c>
      <c r="AL41" s="40"/>
      <c r="AM41" s="2" t="s">
        <v>412</v>
      </c>
      <c r="AN41" s="2" t="s">
        <v>420</v>
      </c>
      <c r="AO41" s="2" t="s">
        <v>421</v>
      </c>
      <c r="AP41" s="2" t="s">
        <v>422</v>
      </c>
      <c r="AQ41" s="2" t="s">
        <v>419</v>
      </c>
      <c r="AR41" s="10" t="str">
        <f t="shared" si="8"/>
        <v>202511</v>
      </c>
      <c r="AS41" s="23" t="s">
        <v>403</v>
      </c>
      <c r="AT41" s="23" t="s">
        <v>403</v>
      </c>
      <c r="AU41" s="10" t="s">
        <v>139</v>
      </c>
      <c r="AV41" s="23" t="s">
        <v>403</v>
      </c>
    </row>
    <row r="42" spans="1:49" s="19" customFormat="1" ht="30" x14ac:dyDescent="0.25">
      <c r="B42" s="19" t="s">
        <v>480</v>
      </c>
      <c r="C42" s="19" t="s">
        <v>491</v>
      </c>
      <c r="D42" s="19" t="s">
        <v>212</v>
      </c>
      <c r="E42" s="19" t="s">
        <v>492</v>
      </c>
      <c r="F42" s="19" t="s">
        <v>483</v>
      </c>
      <c r="G42" s="23" t="s">
        <v>476</v>
      </c>
      <c r="H42" s="23" t="s">
        <v>476</v>
      </c>
      <c r="I42" s="19" t="s">
        <v>190</v>
      </c>
      <c r="J42" s="23" t="s">
        <v>476</v>
      </c>
      <c r="L42" s="40"/>
      <c r="M42" s="2" t="s">
        <v>423</v>
      </c>
      <c r="N42" s="2" t="s">
        <v>424</v>
      </c>
      <c r="O42" s="2" t="s">
        <v>425</v>
      </c>
      <c r="P42" s="2" t="s">
        <v>426</v>
      </c>
      <c r="Q42" s="2" t="s">
        <v>427</v>
      </c>
      <c r="R42" s="2" t="s">
        <v>145</v>
      </c>
      <c r="S42" s="10" t="str">
        <f t="shared" si="6"/>
        <v>202511</v>
      </c>
      <c r="T42" s="2"/>
      <c r="U42" s="23" t="s">
        <v>403</v>
      </c>
      <c r="V42" s="23" t="s">
        <v>403</v>
      </c>
      <c r="W42" s="10" t="s">
        <v>139</v>
      </c>
      <c r="X42" s="23" t="s">
        <v>403</v>
      </c>
      <c r="Y42" s="2"/>
      <c r="Z42" s="40"/>
      <c r="AA42" s="2" t="s">
        <v>423</v>
      </c>
      <c r="AB42" s="2" t="s">
        <v>424</v>
      </c>
      <c r="AC42" s="2" t="s">
        <v>425</v>
      </c>
      <c r="AD42" s="2" t="s">
        <v>426</v>
      </c>
      <c r="AE42" s="2" t="s">
        <v>427</v>
      </c>
      <c r="AF42" s="2" t="s">
        <v>145</v>
      </c>
      <c r="AG42" s="10" t="str">
        <f t="shared" si="7"/>
        <v>202511</v>
      </c>
      <c r="AH42" s="23" t="s">
        <v>403</v>
      </c>
      <c r="AI42" s="23" t="s">
        <v>403</v>
      </c>
      <c r="AJ42" s="10" t="s">
        <v>139</v>
      </c>
      <c r="AK42" s="23" t="s">
        <v>403</v>
      </c>
      <c r="AL42" s="40"/>
      <c r="AM42" s="2" t="s">
        <v>423</v>
      </c>
      <c r="AN42" s="2" t="s">
        <v>424</v>
      </c>
      <c r="AO42" s="2" t="s">
        <v>425</v>
      </c>
      <c r="AP42" s="2" t="s">
        <v>426</v>
      </c>
      <c r="AQ42" s="2" t="s">
        <v>427</v>
      </c>
      <c r="AR42" s="10" t="str">
        <f t="shared" si="8"/>
        <v>202511</v>
      </c>
      <c r="AS42" s="23" t="s">
        <v>403</v>
      </c>
      <c r="AT42" s="23" t="s">
        <v>403</v>
      </c>
      <c r="AU42" s="10" t="s">
        <v>139</v>
      </c>
      <c r="AV42" s="23" t="s">
        <v>403</v>
      </c>
    </row>
    <row r="43" spans="1:49" s="19" customFormat="1" ht="30" x14ac:dyDescent="0.25">
      <c r="B43" s="19" t="s">
        <v>486</v>
      </c>
      <c r="C43" s="19" t="s">
        <v>493</v>
      </c>
      <c r="D43" s="19" t="s">
        <v>212</v>
      </c>
      <c r="E43" s="19" t="s">
        <v>494</v>
      </c>
      <c r="F43" s="19" t="s">
        <v>483</v>
      </c>
      <c r="G43" s="23" t="s">
        <v>476</v>
      </c>
      <c r="H43" s="23" t="s">
        <v>476</v>
      </c>
      <c r="I43" s="19" t="s">
        <v>190</v>
      </c>
      <c r="J43" s="23" t="s">
        <v>476</v>
      </c>
      <c r="L43" s="40"/>
      <c r="M43" s="2" t="s">
        <v>428</v>
      </c>
      <c r="N43" s="2" t="s">
        <v>429</v>
      </c>
      <c r="O43" s="2" t="s">
        <v>425</v>
      </c>
      <c r="P43" s="2" t="s">
        <v>430</v>
      </c>
      <c r="Q43" s="2" t="s">
        <v>427</v>
      </c>
      <c r="R43" s="2" t="s">
        <v>145</v>
      </c>
      <c r="S43" s="10" t="str">
        <f t="shared" si="6"/>
        <v>202511</v>
      </c>
      <c r="T43" s="2"/>
      <c r="U43" s="23" t="s">
        <v>403</v>
      </c>
      <c r="V43" s="23" t="s">
        <v>403</v>
      </c>
      <c r="W43" s="10" t="s">
        <v>139</v>
      </c>
      <c r="X43" s="23" t="s">
        <v>403</v>
      </c>
      <c r="Y43" s="2"/>
      <c r="Z43" s="40"/>
      <c r="AA43" s="2" t="s">
        <v>428</v>
      </c>
      <c r="AB43" s="2" t="s">
        <v>429</v>
      </c>
      <c r="AC43" s="2" t="s">
        <v>425</v>
      </c>
      <c r="AD43" s="2" t="s">
        <v>430</v>
      </c>
      <c r="AE43" s="2" t="s">
        <v>427</v>
      </c>
      <c r="AF43" s="2" t="s">
        <v>145</v>
      </c>
      <c r="AG43" s="10" t="str">
        <f t="shared" si="7"/>
        <v>202511</v>
      </c>
      <c r="AH43" s="23" t="s">
        <v>403</v>
      </c>
      <c r="AI43" s="23" t="s">
        <v>403</v>
      </c>
      <c r="AJ43" s="10" t="s">
        <v>139</v>
      </c>
      <c r="AK43" s="23" t="s">
        <v>403</v>
      </c>
      <c r="AL43" s="40"/>
      <c r="AM43" s="2" t="s">
        <v>428</v>
      </c>
      <c r="AN43" s="2" t="s">
        <v>429</v>
      </c>
      <c r="AO43" s="2" t="s">
        <v>425</v>
      </c>
      <c r="AP43" s="2" t="s">
        <v>430</v>
      </c>
      <c r="AQ43" s="2" t="s">
        <v>427</v>
      </c>
      <c r="AR43" s="10" t="str">
        <f t="shared" si="8"/>
        <v>202511</v>
      </c>
      <c r="AS43" s="23" t="s">
        <v>403</v>
      </c>
      <c r="AT43" s="23" t="s">
        <v>403</v>
      </c>
      <c r="AU43" s="10" t="s">
        <v>139</v>
      </c>
      <c r="AV43" s="23" t="s">
        <v>403</v>
      </c>
    </row>
    <row r="44" spans="1:49" s="19" customFormat="1" ht="30" x14ac:dyDescent="0.25">
      <c r="B44" s="19" t="s">
        <v>486</v>
      </c>
      <c r="C44" s="19" t="s">
        <v>495</v>
      </c>
      <c r="D44" s="19" t="s">
        <v>212</v>
      </c>
      <c r="E44" s="19" t="s">
        <v>496</v>
      </c>
      <c r="F44" s="19" t="s">
        <v>483</v>
      </c>
      <c r="G44" s="23" t="s">
        <v>476</v>
      </c>
      <c r="H44" s="23" t="s">
        <v>476</v>
      </c>
      <c r="I44" s="19" t="s">
        <v>190</v>
      </c>
      <c r="J44" s="23" t="s">
        <v>476</v>
      </c>
      <c r="L44" s="40"/>
      <c r="M44" s="2" t="s">
        <v>428</v>
      </c>
      <c r="N44" s="2" t="s">
        <v>431</v>
      </c>
      <c r="O44" s="2" t="s">
        <v>425</v>
      </c>
      <c r="P44" s="2" t="s">
        <v>432</v>
      </c>
      <c r="Q44" s="2" t="s">
        <v>427</v>
      </c>
      <c r="R44" s="2" t="s">
        <v>145</v>
      </c>
      <c r="S44" s="10" t="str">
        <f t="shared" si="6"/>
        <v>202511</v>
      </c>
      <c r="T44" s="2"/>
      <c r="U44" s="23" t="s">
        <v>403</v>
      </c>
      <c r="V44" s="23" t="s">
        <v>403</v>
      </c>
      <c r="W44" s="10" t="s">
        <v>139</v>
      </c>
      <c r="X44" s="23" t="s">
        <v>403</v>
      </c>
      <c r="Y44" s="2"/>
      <c r="Z44" s="40"/>
      <c r="AA44" s="2" t="s">
        <v>428</v>
      </c>
      <c r="AB44" s="2" t="s">
        <v>431</v>
      </c>
      <c r="AC44" s="2" t="s">
        <v>425</v>
      </c>
      <c r="AD44" s="2" t="s">
        <v>432</v>
      </c>
      <c r="AE44" s="2" t="s">
        <v>427</v>
      </c>
      <c r="AF44" s="2" t="s">
        <v>145</v>
      </c>
      <c r="AG44" s="10" t="str">
        <f t="shared" si="7"/>
        <v>202511</v>
      </c>
      <c r="AH44" s="23" t="s">
        <v>403</v>
      </c>
      <c r="AI44" s="23" t="s">
        <v>403</v>
      </c>
      <c r="AJ44" s="10" t="s">
        <v>139</v>
      </c>
      <c r="AK44" s="23" t="s">
        <v>403</v>
      </c>
      <c r="AL44" s="40"/>
      <c r="AM44" s="2" t="s">
        <v>428</v>
      </c>
      <c r="AN44" s="2" t="s">
        <v>431</v>
      </c>
      <c r="AO44" s="2" t="s">
        <v>425</v>
      </c>
      <c r="AP44" s="2" t="s">
        <v>432</v>
      </c>
      <c r="AQ44" s="2" t="s">
        <v>427</v>
      </c>
      <c r="AR44" s="10" t="str">
        <f t="shared" si="8"/>
        <v>202511</v>
      </c>
      <c r="AS44" s="23" t="s">
        <v>403</v>
      </c>
      <c r="AT44" s="23" t="s">
        <v>403</v>
      </c>
      <c r="AU44" s="10" t="s">
        <v>139</v>
      </c>
      <c r="AV44" s="23" t="s">
        <v>403</v>
      </c>
    </row>
    <row r="45" spans="1:49" s="19" customFormat="1" ht="30" x14ac:dyDescent="0.25">
      <c r="B45" s="19" t="s">
        <v>480</v>
      </c>
      <c r="C45" s="19" t="s">
        <v>497</v>
      </c>
      <c r="D45" s="19" t="s">
        <v>212</v>
      </c>
      <c r="E45" s="19" t="s">
        <v>498</v>
      </c>
      <c r="F45" s="19" t="s">
        <v>483</v>
      </c>
      <c r="G45" s="23" t="s">
        <v>476</v>
      </c>
      <c r="H45" s="23" t="s">
        <v>476</v>
      </c>
      <c r="I45" s="19" t="s">
        <v>190</v>
      </c>
      <c r="J45" s="23" t="s">
        <v>476</v>
      </c>
      <c r="L45" s="40"/>
      <c r="M45" s="2" t="s">
        <v>433</v>
      </c>
      <c r="N45" s="2" t="s">
        <v>434</v>
      </c>
      <c r="O45" s="2" t="s">
        <v>425</v>
      </c>
      <c r="P45" s="2" t="s">
        <v>435</v>
      </c>
      <c r="Q45" s="2" t="s">
        <v>427</v>
      </c>
      <c r="R45" s="2" t="s">
        <v>145</v>
      </c>
      <c r="S45" s="10" t="str">
        <f t="shared" si="6"/>
        <v>202511</v>
      </c>
      <c r="T45" s="2"/>
      <c r="U45" s="23" t="s">
        <v>403</v>
      </c>
      <c r="V45" s="23" t="s">
        <v>403</v>
      </c>
      <c r="W45" s="10" t="s">
        <v>139</v>
      </c>
      <c r="X45" s="23" t="s">
        <v>403</v>
      </c>
      <c r="Y45" s="2"/>
      <c r="Z45" s="40"/>
      <c r="AA45" s="2" t="s">
        <v>433</v>
      </c>
      <c r="AB45" s="2" t="s">
        <v>434</v>
      </c>
      <c r="AC45" s="2" t="s">
        <v>425</v>
      </c>
      <c r="AD45" s="2" t="s">
        <v>435</v>
      </c>
      <c r="AE45" s="2" t="s">
        <v>427</v>
      </c>
      <c r="AF45" s="2" t="s">
        <v>145</v>
      </c>
      <c r="AG45" s="10" t="str">
        <f t="shared" si="7"/>
        <v>202511</v>
      </c>
      <c r="AH45" s="23" t="s">
        <v>403</v>
      </c>
      <c r="AI45" s="23" t="s">
        <v>403</v>
      </c>
      <c r="AJ45" s="10" t="s">
        <v>139</v>
      </c>
      <c r="AK45" s="23" t="s">
        <v>403</v>
      </c>
      <c r="AL45" s="40"/>
      <c r="AM45" s="2" t="s">
        <v>433</v>
      </c>
      <c r="AN45" s="2" t="s">
        <v>434</v>
      </c>
      <c r="AO45" s="2" t="s">
        <v>425</v>
      </c>
      <c r="AP45" s="2" t="s">
        <v>435</v>
      </c>
      <c r="AQ45" s="2" t="s">
        <v>427</v>
      </c>
      <c r="AR45" s="10" t="str">
        <f t="shared" si="8"/>
        <v>202511</v>
      </c>
      <c r="AS45" s="23" t="s">
        <v>403</v>
      </c>
      <c r="AT45" s="23" t="s">
        <v>403</v>
      </c>
      <c r="AU45" s="10" t="s">
        <v>139</v>
      </c>
      <c r="AV45" s="23" t="s">
        <v>403</v>
      </c>
    </row>
    <row r="46" spans="1:49" s="19" customFormat="1" ht="30" x14ac:dyDescent="0.25">
      <c r="L46" s="40"/>
      <c r="M46" s="2" t="s">
        <v>438</v>
      </c>
      <c r="N46" s="2" t="s">
        <v>439</v>
      </c>
      <c r="O46" s="2" t="s">
        <v>212</v>
      </c>
      <c r="P46" s="2" t="s">
        <v>440</v>
      </c>
      <c r="Q46" s="2" t="s">
        <v>441</v>
      </c>
      <c r="R46" s="2" t="s">
        <v>145</v>
      </c>
      <c r="S46" s="10" t="str">
        <f t="shared" si="6"/>
        <v>202511</v>
      </c>
      <c r="T46" s="2"/>
      <c r="U46" s="23" t="s">
        <v>442</v>
      </c>
      <c r="V46" s="23" t="s">
        <v>442</v>
      </c>
      <c r="W46" s="10" t="s">
        <v>139</v>
      </c>
      <c r="X46" s="23" t="s">
        <v>442</v>
      </c>
      <c r="Y46" s="2"/>
      <c r="Z46" s="40"/>
      <c r="AA46" s="2" t="s">
        <v>438</v>
      </c>
      <c r="AB46" s="2" t="s">
        <v>439</v>
      </c>
      <c r="AC46" s="2" t="s">
        <v>212</v>
      </c>
      <c r="AD46" s="2" t="s">
        <v>440</v>
      </c>
      <c r="AE46" s="2" t="s">
        <v>441</v>
      </c>
      <c r="AF46" s="2" t="s">
        <v>145</v>
      </c>
      <c r="AG46" s="10" t="str">
        <f t="shared" si="7"/>
        <v>202511</v>
      </c>
      <c r="AH46" s="23" t="s">
        <v>442</v>
      </c>
      <c r="AI46" s="23" t="s">
        <v>442</v>
      </c>
      <c r="AJ46" s="10" t="s">
        <v>139</v>
      </c>
      <c r="AK46" s="23" t="s">
        <v>442</v>
      </c>
      <c r="AL46" s="40"/>
      <c r="AM46" s="2" t="s">
        <v>438</v>
      </c>
      <c r="AN46" s="2" t="s">
        <v>439</v>
      </c>
      <c r="AO46" s="2" t="s">
        <v>212</v>
      </c>
      <c r="AP46" s="2" t="s">
        <v>440</v>
      </c>
      <c r="AQ46" s="2" t="s">
        <v>441</v>
      </c>
      <c r="AR46" s="10" t="str">
        <f t="shared" si="8"/>
        <v>202511</v>
      </c>
      <c r="AS46" s="23" t="s">
        <v>442</v>
      </c>
      <c r="AT46" s="23" t="s">
        <v>442</v>
      </c>
      <c r="AU46" s="10" t="s">
        <v>139</v>
      </c>
      <c r="AV46" s="23" t="s">
        <v>442</v>
      </c>
    </row>
    <row r="47" spans="1:49" s="19" customFormat="1" ht="30" x14ac:dyDescent="0.25">
      <c r="L47" s="40"/>
      <c r="M47" s="2" t="s">
        <v>443</v>
      </c>
      <c r="N47" s="2" t="s">
        <v>444</v>
      </c>
      <c r="O47" s="2" t="s">
        <v>212</v>
      </c>
      <c r="P47" s="2" t="s">
        <v>445</v>
      </c>
      <c r="Q47" s="2" t="s">
        <v>446</v>
      </c>
      <c r="R47" s="2" t="s">
        <v>145</v>
      </c>
      <c r="S47" s="10" t="str">
        <f t="shared" si="6"/>
        <v>202511</v>
      </c>
      <c r="T47" s="2"/>
      <c r="U47" s="23" t="s">
        <v>442</v>
      </c>
      <c r="V47" s="23" t="s">
        <v>442</v>
      </c>
      <c r="W47" s="10" t="s">
        <v>139</v>
      </c>
      <c r="X47" s="23" t="s">
        <v>442</v>
      </c>
      <c r="Y47" s="2"/>
      <c r="Z47" s="40"/>
      <c r="AA47" s="2" t="s">
        <v>443</v>
      </c>
      <c r="AB47" s="2" t="s">
        <v>444</v>
      </c>
      <c r="AC47" s="2" t="s">
        <v>212</v>
      </c>
      <c r="AD47" s="2" t="s">
        <v>445</v>
      </c>
      <c r="AE47" s="2" t="s">
        <v>446</v>
      </c>
      <c r="AF47" s="2" t="s">
        <v>145</v>
      </c>
      <c r="AG47" s="10" t="str">
        <f t="shared" si="7"/>
        <v>202511</v>
      </c>
      <c r="AH47" s="23" t="s">
        <v>442</v>
      </c>
      <c r="AI47" s="23" t="s">
        <v>442</v>
      </c>
      <c r="AJ47" s="10" t="s">
        <v>139</v>
      </c>
      <c r="AK47" s="23" t="s">
        <v>442</v>
      </c>
      <c r="AL47" s="40"/>
      <c r="AM47" s="2" t="s">
        <v>443</v>
      </c>
      <c r="AN47" s="2" t="s">
        <v>444</v>
      </c>
      <c r="AO47" s="2" t="s">
        <v>212</v>
      </c>
      <c r="AP47" s="2" t="s">
        <v>445</v>
      </c>
      <c r="AQ47" s="2" t="s">
        <v>446</v>
      </c>
      <c r="AR47" s="10" t="str">
        <f t="shared" si="8"/>
        <v>202511</v>
      </c>
      <c r="AS47" s="23" t="s">
        <v>442</v>
      </c>
      <c r="AT47" s="23" t="s">
        <v>442</v>
      </c>
      <c r="AU47" s="10" t="s">
        <v>139</v>
      </c>
      <c r="AV47" s="23" t="s">
        <v>442</v>
      </c>
    </row>
    <row r="48" spans="1:49" s="19" customFormat="1" ht="30" x14ac:dyDescent="0.25">
      <c r="L48" s="40"/>
      <c r="M48" s="2" t="s">
        <v>447</v>
      </c>
      <c r="N48" s="2" t="s">
        <v>448</v>
      </c>
      <c r="O48" s="2" t="s">
        <v>449</v>
      </c>
      <c r="P48" s="2" t="s">
        <v>450</v>
      </c>
      <c r="Q48" s="2" t="s">
        <v>451</v>
      </c>
      <c r="R48" s="2" t="s">
        <v>145</v>
      </c>
      <c r="S48" s="10" t="str">
        <f t="shared" si="6"/>
        <v>202511</v>
      </c>
      <c r="T48" s="2"/>
      <c r="U48" s="23" t="s">
        <v>442</v>
      </c>
      <c r="V48" s="23" t="s">
        <v>442</v>
      </c>
      <c r="W48" s="10" t="s">
        <v>139</v>
      </c>
      <c r="X48" s="23" t="s">
        <v>442</v>
      </c>
      <c r="Y48" s="2"/>
      <c r="Z48" s="40"/>
      <c r="AA48" s="2" t="s">
        <v>447</v>
      </c>
      <c r="AB48" s="2" t="s">
        <v>448</v>
      </c>
      <c r="AC48" s="2" t="s">
        <v>449</v>
      </c>
      <c r="AD48" s="2" t="s">
        <v>450</v>
      </c>
      <c r="AE48" s="2" t="s">
        <v>451</v>
      </c>
      <c r="AF48" s="2" t="s">
        <v>145</v>
      </c>
      <c r="AG48" s="10" t="str">
        <f t="shared" si="7"/>
        <v>202511</v>
      </c>
      <c r="AH48" s="23" t="s">
        <v>442</v>
      </c>
      <c r="AI48" s="23" t="s">
        <v>442</v>
      </c>
      <c r="AJ48" s="10" t="s">
        <v>139</v>
      </c>
      <c r="AK48" s="23" t="s">
        <v>442</v>
      </c>
      <c r="AL48" s="40"/>
      <c r="AM48" s="2" t="s">
        <v>447</v>
      </c>
      <c r="AN48" s="2" t="s">
        <v>448</v>
      </c>
      <c r="AO48" s="2" t="s">
        <v>449</v>
      </c>
      <c r="AP48" s="2" t="s">
        <v>450</v>
      </c>
      <c r="AQ48" s="2" t="s">
        <v>451</v>
      </c>
      <c r="AR48" s="10" t="str">
        <f t="shared" si="8"/>
        <v>202511</v>
      </c>
      <c r="AS48" s="23" t="s">
        <v>442</v>
      </c>
      <c r="AT48" s="23" t="s">
        <v>442</v>
      </c>
      <c r="AU48" s="10" t="s">
        <v>139</v>
      </c>
      <c r="AV48" s="23" t="s">
        <v>442</v>
      </c>
    </row>
    <row r="49" spans="1:49" s="19" customFormat="1" ht="30" x14ac:dyDescent="0.25">
      <c r="L49" s="40"/>
      <c r="M49" s="2" t="s">
        <v>452</v>
      </c>
      <c r="N49" s="2" t="s">
        <v>453</v>
      </c>
      <c r="O49" s="2" t="s">
        <v>349</v>
      </c>
      <c r="P49" s="2" t="s">
        <v>454</v>
      </c>
      <c r="Q49" s="2" t="s">
        <v>455</v>
      </c>
      <c r="R49" s="2" t="s">
        <v>145</v>
      </c>
      <c r="S49" s="10" t="str">
        <f t="shared" si="6"/>
        <v>202511</v>
      </c>
      <c r="T49" s="2"/>
      <c r="U49" s="23" t="s">
        <v>442</v>
      </c>
      <c r="V49" s="23" t="s">
        <v>442</v>
      </c>
      <c r="W49" s="10" t="s">
        <v>139</v>
      </c>
      <c r="X49" s="23" t="s">
        <v>442</v>
      </c>
      <c r="Y49" s="2"/>
      <c r="Z49" s="40"/>
      <c r="AA49" s="2" t="s">
        <v>452</v>
      </c>
      <c r="AB49" s="2" t="s">
        <v>453</v>
      </c>
      <c r="AC49" s="2" t="s">
        <v>349</v>
      </c>
      <c r="AD49" s="2" t="s">
        <v>454</v>
      </c>
      <c r="AE49" s="2" t="s">
        <v>455</v>
      </c>
      <c r="AF49" s="2" t="s">
        <v>145</v>
      </c>
      <c r="AG49" s="10" t="str">
        <f t="shared" si="7"/>
        <v>202511</v>
      </c>
      <c r="AH49" s="23" t="s">
        <v>442</v>
      </c>
      <c r="AI49" s="23" t="s">
        <v>442</v>
      </c>
      <c r="AJ49" s="10" t="s">
        <v>139</v>
      </c>
      <c r="AK49" s="23" t="s">
        <v>442</v>
      </c>
      <c r="AL49" s="40"/>
      <c r="AM49" s="2" t="s">
        <v>452</v>
      </c>
      <c r="AN49" s="2" t="s">
        <v>453</v>
      </c>
      <c r="AO49" s="2" t="s">
        <v>349</v>
      </c>
      <c r="AP49" s="2" t="s">
        <v>454</v>
      </c>
      <c r="AQ49" s="2" t="s">
        <v>455</v>
      </c>
      <c r="AR49" s="10" t="str">
        <f t="shared" si="8"/>
        <v>202511</v>
      </c>
      <c r="AS49" s="23" t="s">
        <v>442</v>
      </c>
      <c r="AT49" s="23" t="s">
        <v>442</v>
      </c>
      <c r="AU49" s="10" t="s">
        <v>139</v>
      </c>
      <c r="AV49" s="23" t="s">
        <v>442</v>
      </c>
    </row>
    <row r="50" spans="1:49" s="19" customFormat="1" ht="30" x14ac:dyDescent="0.25">
      <c r="L50" s="40"/>
      <c r="M50" s="2" t="s">
        <v>456</v>
      </c>
      <c r="N50" s="2" t="s">
        <v>457</v>
      </c>
      <c r="O50" s="2" t="s">
        <v>425</v>
      </c>
      <c r="P50" s="2" t="s">
        <v>458</v>
      </c>
      <c r="Q50" s="2" t="s">
        <v>459</v>
      </c>
      <c r="R50" s="2" t="s">
        <v>145</v>
      </c>
      <c r="S50" s="10" t="str">
        <f t="shared" si="6"/>
        <v>202511</v>
      </c>
      <c r="T50" s="2"/>
      <c r="U50" s="23" t="s">
        <v>442</v>
      </c>
      <c r="V50" s="23" t="s">
        <v>442</v>
      </c>
      <c r="W50" s="10" t="s">
        <v>139</v>
      </c>
      <c r="X50" s="23" t="s">
        <v>442</v>
      </c>
      <c r="Y50" s="2"/>
      <c r="Z50" s="40"/>
      <c r="AA50" s="2" t="s">
        <v>456</v>
      </c>
      <c r="AB50" s="2" t="s">
        <v>457</v>
      </c>
      <c r="AC50" s="2" t="s">
        <v>425</v>
      </c>
      <c r="AD50" s="2" t="s">
        <v>458</v>
      </c>
      <c r="AE50" s="2" t="s">
        <v>459</v>
      </c>
      <c r="AF50" s="2" t="s">
        <v>145</v>
      </c>
      <c r="AG50" s="10" t="str">
        <f t="shared" si="7"/>
        <v>202511</v>
      </c>
      <c r="AH50" s="23" t="s">
        <v>442</v>
      </c>
      <c r="AI50" s="23" t="s">
        <v>442</v>
      </c>
      <c r="AJ50" s="10" t="s">
        <v>139</v>
      </c>
      <c r="AK50" s="23" t="s">
        <v>442</v>
      </c>
      <c r="AL50" s="40"/>
      <c r="AM50" s="2" t="s">
        <v>456</v>
      </c>
      <c r="AN50" s="2" t="s">
        <v>457</v>
      </c>
      <c r="AO50" s="2" t="s">
        <v>425</v>
      </c>
      <c r="AP50" s="2" t="s">
        <v>458</v>
      </c>
      <c r="AQ50" s="2" t="s">
        <v>459</v>
      </c>
      <c r="AR50" s="10" t="str">
        <f t="shared" si="8"/>
        <v>202511</v>
      </c>
      <c r="AS50" s="23" t="s">
        <v>442</v>
      </c>
      <c r="AT50" s="23" t="s">
        <v>442</v>
      </c>
      <c r="AU50" s="10" t="s">
        <v>139</v>
      </c>
      <c r="AV50" s="23" t="s">
        <v>442</v>
      </c>
    </row>
    <row r="51" spans="1:49" s="19" customFormat="1" ht="30" x14ac:dyDescent="0.25">
      <c r="L51" s="40"/>
      <c r="M51" s="2" t="s">
        <v>460</v>
      </c>
      <c r="N51" s="2" t="s">
        <v>461</v>
      </c>
      <c r="O51" s="2" t="s">
        <v>425</v>
      </c>
      <c r="P51" s="2" t="s">
        <v>462</v>
      </c>
      <c r="Q51" s="2" t="s">
        <v>463</v>
      </c>
      <c r="R51" s="2" t="s">
        <v>145</v>
      </c>
      <c r="S51" s="10" t="str">
        <f t="shared" si="6"/>
        <v>202511</v>
      </c>
      <c r="T51" s="2"/>
      <c r="U51" s="23" t="s">
        <v>442</v>
      </c>
      <c r="V51" s="23" t="s">
        <v>442</v>
      </c>
      <c r="W51" s="10" t="s">
        <v>139</v>
      </c>
      <c r="X51" s="23" t="s">
        <v>442</v>
      </c>
      <c r="Y51" s="2"/>
      <c r="Z51" s="40"/>
      <c r="AA51" s="2" t="s">
        <v>460</v>
      </c>
      <c r="AB51" s="2" t="s">
        <v>461</v>
      </c>
      <c r="AC51" s="2" t="s">
        <v>425</v>
      </c>
      <c r="AD51" s="2" t="s">
        <v>462</v>
      </c>
      <c r="AE51" s="2" t="s">
        <v>463</v>
      </c>
      <c r="AF51" s="2" t="s">
        <v>145</v>
      </c>
      <c r="AG51" s="10" t="str">
        <f t="shared" si="7"/>
        <v>202511</v>
      </c>
      <c r="AH51" s="23" t="s">
        <v>442</v>
      </c>
      <c r="AI51" s="23" t="s">
        <v>442</v>
      </c>
      <c r="AJ51" s="10" t="s">
        <v>139</v>
      </c>
      <c r="AK51" s="23" t="s">
        <v>442</v>
      </c>
      <c r="AL51" s="40"/>
      <c r="AM51" s="2" t="s">
        <v>460</v>
      </c>
      <c r="AN51" s="2" t="s">
        <v>461</v>
      </c>
      <c r="AO51" s="2" t="s">
        <v>425</v>
      </c>
      <c r="AP51" s="2" t="s">
        <v>462</v>
      </c>
      <c r="AQ51" s="2" t="s">
        <v>463</v>
      </c>
      <c r="AR51" s="10" t="str">
        <f t="shared" si="8"/>
        <v>202511</v>
      </c>
      <c r="AS51" s="23" t="s">
        <v>442</v>
      </c>
      <c r="AT51" s="23" t="s">
        <v>442</v>
      </c>
      <c r="AU51" s="10" t="s">
        <v>139</v>
      </c>
      <c r="AV51" s="23" t="s">
        <v>442</v>
      </c>
    </row>
    <row r="52" spans="1:49" s="19" customFormat="1" ht="30" x14ac:dyDescent="0.25">
      <c r="L52" s="40"/>
      <c r="M52" s="2" t="s">
        <v>460</v>
      </c>
      <c r="N52" s="2" t="s">
        <v>464</v>
      </c>
      <c r="O52" s="2" t="s">
        <v>209</v>
      </c>
      <c r="P52" s="2" t="s">
        <v>465</v>
      </c>
      <c r="Q52" s="2" t="s">
        <v>466</v>
      </c>
      <c r="R52" s="2" t="s">
        <v>145</v>
      </c>
      <c r="S52" s="10" t="str">
        <f t="shared" si="6"/>
        <v>202511</v>
      </c>
      <c r="T52" s="2"/>
      <c r="U52" s="23" t="s">
        <v>442</v>
      </c>
      <c r="V52" s="23" t="s">
        <v>442</v>
      </c>
      <c r="W52" s="10" t="s">
        <v>139</v>
      </c>
      <c r="X52" s="23" t="s">
        <v>442</v>
      </c>
      <c r="Y52" s="2"/>
      <c r="Z52" s="40"/>
      <c r="AA52" s="2" t="s">
        <v>460</v>
      </c>
      <c r="AB52" s="2" t="s">
        <v>464</v>
      </c>
      <c r="AC52" s="2" t="s">
        <v>209</v>
      </c>
      <c r="AD52" s="2" t="s">
        <v>465</v>
      </c>
      <c r="AE52" s="2" t="s">
        <v>466</v>
      </c>
      <c r="AF52" s="2" t="s">
        <v>145</v>
      </c>
      <c r="AG52" s="10" t="str">
        <f t="shared" si="7"/>
        <v>202511</v>
      </c>
      <c r="AH52" s="23" t="s">
        <v>442</v>
      </c>
      <c r="AI52" s="23" t="s">
        <v>442</v>
      </c>
      <c r="AJ52" s="10" t="s">
        <v>139</v>
      </c>
      <c r="AK52" s="23" t="s">
        <v>442</v>
      </c>
      <c r="AL52" s="40"/>
      <c r="AM52" s="2" t="s">
        <v>460</v>
      </c>
      <c r="AN52" s="2" t="s">
        <v>464</v>
      </c>
      <c r="AO52" s="2" t="s">
        <v>209</v>
      </c>
      <c r="AP52" s="2" t="s">
        <v>465</v>
      </c>
      <c r="AQ52" s="2" t="s">
        <v>466</v>
      </c>
      <c r="AR52" s="10" t="str">
        <f t="shared" si="8"/>
        <v>202511</v>
      </c>
      <c r="AS52" s="23" t="s">
        <v>442</v>
      </c>
      <c r="AT52" s="23" t="s">
        <v>442</v>
      </c>
      <c r="AU52" s="10" t="s">
        <v>139</v>
      </c>
      <c r="AV52" s="23" t="s">
        <v>442</v>
      </c>
    </row>
    <row r="53" spans="1:49" s="19" customFormat="1" ht="30" x14ac:dyDescent="0.25">
      <c r="L53" s="40"/>
      <c r="M53" s="2" t="s">
        <v>467</v>
      </c>
      <c r="N53" s="2" t="s">
        <v>468</v>
      </c>
      <c r="O53" s="2" t="s">
        <v>212</v>
      </c>
      <c r="P53" s="2" t="s">
        <v>469</v>
      </c>
      <c r="Q53" s="2" t="s">
        <v>470</v>
      </c>
      <c r="R53" s="2" t="s">
        <v>145</v>
      </c>
      <c r="S53" s="10" t="str">
        <f t="shared" si="6"/>
        <v>202511</v>
      </c>
      <c r="T53" s="2"/>
      <c r="U53" s="23" t="s">
        <v>442</v>
      </c>
      <c r="V53" s="23" t="s">
        <v>442</v>
      </c>
      <c r="W53" s="10" t="s">
        <v>139</v>
      </c>
      <c r="X53" s="23" t="s">
        <v>442</v>
      </c>
      <c r="Y53" s="2"/>
      <c r="Z53" s="40"/>
      <c r="AA53" s="2" t="s">
        <v>467</v>
      </c>
      <c r="AB53" s="2" t="s">
        <v>468</v>
      </c>
      <c r="AC53" s="2" t="s">
        <v>212</v>
      </c>
      <c r="AD53" s="2" t="s">
        <v>469</v>
      </c>
      <c r="AE53" s="2" t="s">
        <v>470</v>
      </c>
      <c r="AF53" s="2" t="s">
        <v>145</v>
      </c>
      <c r="AG53" s="10" t="str">
        <f t="shared" si="7"/>
        <v>202511</v>
      </c>
      <c r="AH53" s="23" t="s">
        <v>442</v>
      </c>
      <c r="AI53" s="23" t="s">
        <v>442</v>
      </c>
      <c r="AJ53" s="10" t="s">
        <v>139</v>
      </c>
      <c r="AK53" s="23" t="s">
        <v>442</v>
      </c>
      <c r="AL53" s="40"/>
      <c r="AM53" s="2" t="s">
        <v>467</v>
      </c>
      <c r="AN53" s="2" t="s">
        <v>468</v>
      </c>
      <c r="AO53" s="2" t="s">
        <v>212</v>
      </c>
      <c r="AP53" s="2" t="s">
        <v>469</v>
      </c>
      <c r="AQ53" s="2" t="s">
        <v>470</v>
      </c>
      <c r="AR53" s="10" t="str">
        <f t="shared" si="8"/>
        <v>202511</v>
      </c>
      <c r="AS53" s="23" t="s">
        <v>442</v>
      </c>
      <c r="AT53" s="23" t="s">
        <v>442</v>
      </c>
      <c r="AU53" s="10" t="s">
        <v>139</v>
      </c>
      <c r="AV53" s="23" t="s">
        <v>442</v>
      </c>
    </row>
    <row r="54" spans="1:49" s="19" customFormat="1" ht="30" x14ac:dyDescent="0.25">
      <c r="L54" s="40"/>
      <c r="M54" s="7" t="s">
        <v>472</v>
      </c>
      <c r="N54" s="7" t="s">
        <v>473</v>
      </c>
      <c r="O54" s="7" t="s">
        <v>212</v>
      </c>
      <c r="P54" s="7" t="s">
        <v>474</v>
      </c>
      <c r="Q54" s="7" t="s">
        <v>475</v>
      </c>
      <c r="R54" s="7" t="s">
        <v>145</v>
      </c>
      <c r="S54" s="14" t="str">
        <f t="shared" si="6"/>
        <v>202511</v>
      </c>
      <c r="T54" s="2"/>
      <c r="U54" s="25" t="s">
        <v>476</v>
      </c>
      <c r="V54" s="25" t="s">
        <v>476</v>
      </c>
      <c r="W54" s="14" t="s">
        <v>190</v>
      </c>
      <c r="X54" s="25" t="s">
        <v>476</v>
      </c>
      <c r="Z54" s="40"/>
      <c r="AA54" s="7" t="s">
        <v>472</v>
      </c>
      <c r="AB54" s="7" t="s">
        <v>473</v>
      </c>
      <c r="AC54" s="7" t="s">
        <v>212</v>
      </c>
      <c r="AD54" s="7" t="s">
        <v>474</v>
      </c>
      <c r="AE54" s="7" t="s">
        <v>475</v>
      </c>
      <c r="AF54" s="7" t="s">
        <v>145</v>
      </c>
      <c r="AG54" s="14" t="str">
        <f t="shared" si="7"/>
        <v>202511</v>
      </c>
      <c r="AH54" s="25" t="s">
        <v>476</v>
      </c>
      <c r="AI54" s="25" t="s">
        <v>476</v>
      </c>
      <c r="AJ54" s="14" t="s">
        <v>190</v>
      </c>
      <c r="AK54" s="25" t="s">
        <v>476</v>
      </c>
      <c r="AL54" s="40"/>
      <c r="AM54" s="7" t="s">
        <v>472</v>
      </c>
      <c r="AN54" s="7" t="s">
        <v>473</v>
      </c>
      <c r="AO54" s="7" t="s">
        <v>212</v>
      </c>
      <c r="AP54" s="7" t="s">
        <v>474</v>
      </c>
      <c r="AQ54" s="7" t="s">
        <v>475</v>
      </c>
      <c r="AR54" s="14" t="str">
        <f t="shared" si="8"/>
        <v>202511</v>
      </c>
      <c r="AS54" s="25" t="s">
        <v>476</v>
      </c>
      <c r="AT54" s="25" t="s">
        <v>476</v>
      </c>
      <c r="AU54" s="14" t="s">
        <v>190</v>
      </c>
      <c r="AV54" s="25" t="s">
        <v>476</v>
      </c>
    </row>
    <row r="55" spans="1:49" s="19" customFormat="1" ht="30" x14ac:dyDescent="0.25">
      <c r="L55" s="40"/>
      <c r="M55" s="7" t="s">
        <v>477</v>
      </c>
      <c r="N55" s="7" t="s">
        <v>478</v>
      </c>
      <c r="O55" s="7" t="s">
        <v>212</v>
      </c>
      <c r="P55" s="7" t="s">
        <v>479</v>
      </c>
      <c r="Q55" s="7" t="s">
        <v>475</v>
      </c>
      <c r="R55" s="7" t="s">
        <v>145</v>
      </c>
      <c r="S55" s="14" t="str">
        <f t="shared" si="6"/>
        <v>202511</v>
      </c>
      <c r="T55" s="2"/>
      <c r="U55" s="25" t="s">
        <v>476</v>
      </c>
      <c r="V55" s="25" t="s">
        <v>476</v>
      </c>
      <c r="W55" s="14" t="s">
        <v>190</v>
      </c>
      <c r="X55" s="25" t="s">
        <v>476</v>
      </c>
      <c r="Z55" s="40"/>
      <c r="AA55" s="7" t="s">
        <v>477</v>
      </c>
      <c r="AB55" s="7" t="s">
        <v>478</v>
      </c>
      <c r="AC55" s="7" t="s">
        <v>212</v>
      </c>
      <c r="AD55" s="7" t="s">
        <v>479</v>
      </c>
      <c r="AE55" s="7" t="s">
        <v>475</v>
      </c>
      <c r="AF55" s="7" t="s">
        <v>145</v>
      </c>
      <c r="AG55" s="14" t="str">
        <f t="shared" si="7"/>
        <v>202511</v>
      </c>
      <c r="AH55" s="25" t="s">
        <v>476</v>
      </c>
      <c r="AI55" s="25" t="s">
        <v>476</v>
      </c>
      <c r="AJ55" s="14" t="s">
        <v>190</v>
      </c>
      <c r="AK55" s="25" t="s">
        <v>476</v>
      </c>
      <c r="AL55" s="40"/>
      <c r="AM55" s="7" t="s">
        <v>477</v>
      </c>
      <c r="AN55" s="7" t="s">
        <v>478</v>
      </c>
      <c r="AO55" s="7" t="s">
        <v>212</v>
      </c>
      <c r="AP55" s="7" t="s">
        <v>479</v>
      </c>
      <c r="AQ55" s="7" t="s">
        <v>475</v>
      </c>
      <c r="AR55" s="14" t="str">
        <f t="shared" si="8"/>
        <v>202511</v>
      </c>
      <c r="AS55" s="25" t="s">
        <v>476</v>
      </c>
      <c r="AT55" s="25" t="s">
        <v>476</v>
      </c>
      <c r="AU55" s="14" t="s">
        <v>190</v>
      </c>
      <c r="AV55" s="25" t="s">
        <v>476</v>
      </c>
    </row>
    <row r="56" spans="1:49" s="19" customFormat="1" ht="30" x14ac:dyDescent="0.25">
      <c r="L56" s="40"/>
      <c r="M56" s="7" t="s">
        <v>480</v>
      </c>
      <c r="N56" s="7" t="s">
        <v>481</v>
      </c>
      <c r="O56" s="7" t="s">
        <v>212</v>
      </c>
      <c r="P56" s="7" t="s">
        <v>482</v>
      </c>
      <c r="Q56" s="7" t="s">
        <v>483</v>
      </c>
      <c r="R56" s="7" t="s">
        <v>145</v>
      </c>
      <c r="S56" s="14" t="str">
        <f t="shared" si="6"/>
        <v>202511</v>
      </c>
      <c r="T56" s="2"/>
      <c r="U56" s="25" t="s">
        <v>476</v>
      </c>
      <c r="V56" s="25" t="s">
        <v>476</v>
      </c>
      <c r="W56" s="14" t="s">
        <v>190</v>
      </c>
      <c r="X56" s="25" t="s">
        <v>476</v>
      </c>
      <c r="Z56" s="40"/>
      <c r="AA56" s="7" t="s">
        <v>480</v>
      </c>
      <c r="AB56" s="7" t="s">
        <v>481</v>
      </c>
      <c r="AC56" s="7" t="s">
        <v>212</v>
      </c>
      <c r="AD56" s="7" t="s">
        <v>482</v>
      </c>
      <c r="AE56" s="7" t="s">
        <v>483</v>
      </c>
      <c r="AF56" s="7" t="s">
        <v>145</v>
      </c>
      <c r="AG56" s="14" t="str">
        <f t="shared" si="7"/>
        <v>202511</v>
      </c>
      <c r="AH56" s="25" t="s">
        <v>476</v>
      </c>
      <c r="AI56" s="25" t="s">
        <v>476</v>
      </c>
      <c r="AJ56" s="14" t="s">
        <v>190</v>
      </c>
      <c r="AK56" s="25" t="s">
        <v>476</v>
      </c>
      <c r="AL56" s="40"/>
      <c r="AM56" s="7" t="s">
        <v>480</v>
      </c>
      <c r="AN56" s="7" t="s">
        <v>481</v>
      </c>
      <c r="AO56" s="7" t="s">
        <v>212</v>
      </c>
      <c r="AP56" s="7" t="s">
        <v>482</v>
      </c>
      <c r="AQ56" s="7" t="s">
        <v>483</v>
      </c>
      <c r="AR56" s="14" t="str">
        <f t="shared" si="8"/>
        <v>202511</v>
      </c>
      <c r="AS56" s="25" t="s">
        <v>476</v>
      </c>
      <c r="AT56" s="25" t="s">
        <v>476</v>
      </c>
      <c r="AU56" s="14" t="s">
        <v>190</v>
      </c>
      <c r="AV56" s="25" t="s">
        <v>476</v>
      </c>
    </row>
    <row r="57" spans="1:49" s="19" customFormat="1" ht="30" x14ac:dyDescent="0.25">
      <c r="L57" s="40"/>
      <c r="M57" s="7" t="s">
        <v>480</v>
      </c>
      <c r="N57" s="7" t="s">
        <v>484</v>
      </c>
      <c r="O57" s="7" t="s">
        <v>212</v>
      </c>
      <c r="P57" s="7" t="s">
        <v>485</v>
      </c>
      <c r="Q57" s="7" t="s">
        <v>483</v>
      </c>
      <c r="R57" s="7" t="s">
        <v>145</v>
      </c>
      <c r="S57" s="14" t="str">
        <f t="shared" si="6"/>
        <v>202511</v>
      </c>
      <c r="T57" s="2"/>
      <c r="U57" s="25" t="s">
        <v>476</v>
      </c>
      <c r="V57" s="25" t="s">
        <v>476</v>
      </c>
      <c r="W57" s="14" t="s">
        <v>190</v>
      </c>
      <c r="X57" s="25" t="s">
        <v>476</v>
      </c>
      <c r="Z57" s="40"/>
      <c r="AA57" s="7" t="s">
        <v>480</v>
      </c>
      <c r="AB57" s="7" t="s">
        <v>484</v>
      </c>
      <c r="AC57" s="7" t="s">
        <v>212</v>
      </c>
      <c r="AD57" s="7" t="s">
        <v>485</v>
      </c>
      <c r="AE57" s="7" t="s">
        <v>483</v>
      </c>
      <c r="AF57" s="7" t="s">
        <v>145</v>
      </c>
      <c r="AG57" s="14" t="str">
        <f t="shared" si="7"/>
        <v>202511</v>
      </c>
      <c r="AH57" s="25" t="s">
        <v>476</v>
      </c>
      <c r="AI57" s="25" t="s">
        <v>476</v>
      </c>
      <c r="AJ57" s="14" t="s">
        <v>190</v>
      </c>
      <c r="AK57" s="25" t="s">
        <v>476</v>
      </c>
      <c r="AL57" s="40"/>
      <c r="AM57" s="7" t="s">
        <v>480</v>
      </c>
      <c r="AN57" s="7" t="s">
        <v>484</v>
      </c>
      <c r="AO57" s="7" t="s">
        <v>212</v>
      </c>
      <c r="AP57" s="7" t="s">
        <v>485</v>
      </c>
      <c r="AQ57" s="7" t="s">
        <v>483</v>
      </c>
      <c r="AR57" s="14" t="str">
        <f t="shared" si="8"/>
        <v>202511</v>
      </c>
      <c r="AS57" s="25" t="s">
        <v>476</v>
      </c>
      <c r="AT57" s="25" t="s">
        <v>476</v>
      </c>
      <c r="AU57" s="14" t="s">
        <v>190</v>
      </c>
      <c r="AV57" s="25" t="s">
        <v>476</v>
      </c>
    </row>
    <row r="58" spans="1:49" s="19" customFormat="1" ht="30" x14ac:dyDescent="0.25">
      <c r="L58" s="40"/>
      <c r="M58" s="7" t="s">
        <v>486</v>
      </c>
      <c r="N58" s="7" t="s">
        <v>487</v>
      </c>
      <c r="O58" s="7" t="s">
        <v>212</v>
      </c>
      <c r="P58" s="7" t="s">
        <v>488</v>
      </c>
      <c r="Q58" s="7" t="s">
        <v>483</v>
      </c>
      <c r="R58" s="7" t="s">
        <v>145</v>
      </c>
      <c r="S58" s="14" t="str">
        <f t="shared" si="6"/>
        <v>202511</v>
      </c>
      <c r="T58" s="2"/>
      <c r="U58" s="25" t="s">
        <v>476</v>
      </c>
      <c r="V58" s="25" t="s">
        <v>476</v>
      </c>
      <c r="W58" s="14" t="s">
        <v>190</v>
      </c>
      <c r="X58" s="25" t="s">
        <v>476</v>
      </c>
      <c r="Z58" s="40"/>
      <c r="AA58" s="7" t="s">
        <v>486</v>
      </c>
      <c r="AB58" s="7" t="s">
        <v>487</v>
      </c>
      <c r="AC58" s="7" t="s">
        <v>212</v>
      </c>
      <c r="AD58" s="7" t="s">
        <v>488</v>
      </c>
      <c r="AE58" s="7" t="s">
        <v>483</v>
      </c>
      <c r="AF58" s="7" t="s">
        <v>145</v>
      </c>
      <c r="AG58" s="14" t="str">
        <f t="shared" si="7"/>
        <v>202511</v>
      </c>
      <c r="AH58" s="25" t="s">
        <v>476</v>
      </c>
      <c r="AI58" s="25" t="s">
        <v>476</v>
      </c>
      <c r="AJ58" s="14" t="s">
        <v>190</v>
      </c>
      <c r="AK58" s="25" t="s">
        <v>476</v>
      </c>
      <c r="AL58" s="40"/>
      <c r="AM58" s="7" t="s">
        <v>486</v>
      </c>
      <c r="AN58" s="7" t="s">
        <v>487</v>
      </c>
      <c r="AO58" s="7" t="s">
        <v>212</v>
      </c>
      <c r="AP58" s="7" t="s">
        <v>488</v>
      </c>
      <c r="AQ58" s="7" t="s">
        <v>483</v>
      </c>
      <c r="AR58" s="14" t="str">
        <f t="shared" si="8"/>
        <v>202511</v>
      </c>
      <c r="AS58" s="25" t="s">
        <v>476</v>
      </c>
      <c r="AT58" s="25" t="s">
        <v>476</v>
      </c>
      <c r="AU58" s="14" t="s">
        <v>190</v>
      </c>
      <c r="AV58" s="25" t="s">
        <v>476</v>
      </c>
    </row>
    <row r="59" spans="1:49" s="19" customFormat="1" ht="30" x14ac:dyDescent="0.25">
      <c r="L59" s="40"/>
      <c r="M59" s="7" t="s">
        <v>486</v>
      </c>
      <c r="N59" s="7" t="s">
        <v>489</v>
      </c>
      <c r="O59" s="7" t="s">
        <v>212</v>
      </c>
      <c r="P59" s="7" t="s">
        <v>490</v>
      </c>
      <c r="Q59" s="7" t="s">
        <v>483</v>
      </c>
      <c r="R59" s="7" t="s">
        <v>145</v>
      </c>
      <c r="S59" s="14" t="str">
        <f t="shared" si="6"/>
        <v>202511</v>
      </c>
      <c r="T59" s="2"/>
      <c r="U59" s="25" t="s">
        <v>476</v>
      </c>
      <c r="V59" s="25" t="s">
        <v>476</v>
      </c>
      <c r="W59" s="14" t="s">
        <v>190</v>
      </c>
      <c r="X59" s="25" t="s">
        <v>476</v>
      </c>
      <c r="Z59" s="40"/>
      <c r="AA59" s="7" t="s">
        <v>486</v>
      </c>
      <c r="AB59" s="7" t="s">
        <v>489</v>
      </c>
      <c r="AC59" s="7" t="s">
        <v>212</v>
      </c>
      <c r="AD59" s="7" t="s">
        <v>490</v>
      </c>
      <c r="AE59" s="7" t="s">
        <v>483</v>
      </c>
      <c r="AF59" s="7" t="s">
        <v>145</v>
      </c>
      <c r="AG59" s="14" t="str">
        <f t="shared" si="7"/>
        <v>202511</v>
      </c>
      <c r="AH59" s="25" t="s">
        <v>476</v>
      </c>
      <c r="AI59" s="25" t="s">
        <v>476</v>
      </c>
      <c r="AJ59" s="14" t="s">
        <v>190</v>
      </c>
      <c r="AK59" s="25" t="s">
        <v>476</v>
      </c>
      <c r="AL59" s="40"/>
      <c r="AM59" s="7" t="s">
        <v>486</v>
      </c>
      <c r="AN59" s="7" t="s">
        <v>489</v>
      </c>
      <c r="AO59" s="7" t="s">
        <v>212</v>
      </c>
      <c r="AP59" s="7" t="s">
        <v>490</v>
      </c>
      <c r="AQ59" s="7" t="s">
        <v>483</v>
      </c>
      <c r="AR59" s="14" t="str">
        <f t="shared" si="8"/>
        <v>202511</v>
      </c>
      <c r="AS59" s="25" t="s">
        <v>476</v>
      </c>
      <c r="AT59" s="25" t="s">
        <v>476</v>
      </c>
      <c r="AU59" s="14" t="s">
        <v>190</v>
      </c>
      <c r="AV59" s="25" t="s">
        <v>476</v>
      </c>
    </row>
    <row r="60" spans="1:49" s="19" customFormat="1" ht="30" x14ac:dyDescent="0.25">
      <c r="L60" s="40"/>
      <c r="M60" s="7" t="s">
        <v>480</v>
      </c>
      <c r="N60" s="7" t="s">
        <v>491</v>
      </c>
      <c r="O60" s="7" t="s">
        <v>212</v>
      </c>
      <c r="P60" s="7" t="s">
        <v>492</v>
      </c>
      <c r="Q60" s="7" t="s">
        <v>483</v>
      </c>
      <c r="R60" s="7" t="s">
        <v>145</v>
      </c>
      <c r="S60" s="14" t="str">
        <f t="shared" si="6"/>
        <v>202511</v>
      </c>
      <c r="T60" s="2"/>
      <c r="U60" s="25" t="s">
        <v>476</v>
      </c>
      <c r="V60" s="25" t="s">
        <v>476</v>
      </c>
      <c r="W60" s="14" t="s">
        <v>190</v>
      </c>
      <c r="X60" s="25" t="s">
        <v>476</v>
      </c>
      <c r="Z60" s="40"/>
      <c r="AA60" s="7" t="s">
        <v>480</v>
      </c>
      <c r="AB60" s="7" t="s">
        <v>491</v>
      </c>
      <c r="AC60" s="7" t="s">
        <v>212</v>
      </c>
      <c r="AD60" s="7" t="s">
        <v>492</v>
      </c>
      <c r="AE60" s="7" t="s">
        <v>483</v>
      </c>
      <c r="AF60" s="7" t="s">
        <v>145</v>
      </c>
      <c r="AG60" s="14" t="str">
        <f t="shared" si="7"/>
        <v>202511</v>
      </c>
      <c r="AH60" s="25" t="s">
        <v>476</v>
      </c>
      <c r="AI60" s="25" t="s">
        <v>476</v>
      </c>
      <c r="AJ60" s="14" t="s">
        <v>190</v>
      </c>
      <c r="AK60" s="25" t="s">
        <v>476</v>
      </c>
      <c r="AL60" s="40"/>
      <c r="AM60" s="7" t="s">
        <v>480</v>
      </c>
      <c r="AN60" s="7" t="s">
        <v>491</v>
      </c>
      <c r="AO60" s="7" t="s">
        <v>212</v>
      </c>
      <c r="AP60" s="7" t="s">
        <v>492</v>
      </c>
      <c r="AQ60" s="7" t="s">
        <v>483</v>
      </c>
      <c r="AR60" s="14" t="str">
        <f t="shared" si="8"/>
        <v>202511</v>
      </c>
      <c r="AS60" s="25" t="s">
        <v>476</v>
      </c>
      <c r="AT60" s="25" t="s">
        <v>476</v>
      </c>
      <c r="AU60" s="14" t="s">
        <v>190</v>
      </c>
      <c r="AV60" s="25" t="s">
        <v>476</v>
      </c>
    </row>
    <row r="61" spans="1:49" s="19" customFormat="1" ht="30" x14ac:dyDescent="0.25">
      <c r="L61" s="40"/>
      <c r="M61" s="7" t="s">
        <v>486</v>
      </c>
      <c r="N61" s="7" t="s">
        <v>493</v>
      </c>
      <c r="O61" s="7" t="s">
        <v>212</v>
      </c>
      <c r="P61" s="7" t="s">
        <v>494</v>
      </c>
      <c r="Q61" s="7" t="s">
        <v>483</v>
      </c>
      <c r="R61" s="7" t="s">
        <v>145</v>
      </c>
      <c r="S61" s="14" t="str">
        <f t="shared" si="6"/>
        <v>202511</v>
      </c>
      <c r="T61" s="2"/>
      <c r="U61" s="25" t="s">
        <v>476</v>
      </c>
      <c r="V61" s="25" t="s">
        <v>476</v>
      </c>
      <c r="W61" s="14" t="s">
        <v>190</v>
      </c>
      <c r="X61" s="25" t="s">
        <v>476</v>
      </c>
      <c r="Z61" s="40"/>
      <c r="AA61" s="7" t="s">
        <v>486</v>
      </c>
      <c r="AB61" s="7" t="s">
        <v>493</v>
      </c>
      <c r="AC61" s="7" t="s">
        <v>212</v>
      </c>
      <c r="AD61" s="7" t="s">
        <v>494</v>
      </c>
      <c r="AE61" s="7" t="s">
        <v>483</v>
      </c>
      <c r="AF61" s="7" t="s">
        <v>145</v>
      </c>
      <c r="AG61" s="14" t="str">
        <f t="shared" si="7"/>
        <v>202511</v>
      </c>
      <c r="AH61" s="25" t="s">
        <v>476</v>
      </c>
      <c r="AI61" s="25" t="s">
        <v>476</v>
      </c>
      <c r="AJ61" s="14" t="s">
        <v>190</v>
      </c>
      <c r="AK61" s="25" t="s">
        <v>476</v>
      </c>
      <c r="AL61" s="40"/>
      <c r="AM61" s="7" t="s">
        <v>486</v>
      </c>
      <c r="AN61" s="7" t="s">
        <v>493</v>
      </c>
      <c r="AO61" s="7" t="s">
        <v>212</v>
      </c>
      <c r="AP61" s="7" t="s">
        <v>494</v>
      </c>
      <c r="AQ61" s="7" t="s">
        <v>483</v>
      </c>
      <c r="AR61" s="14" t="str">
        <f t="shared" si="8"/>
        <v>202511</v>
      </c>
      <c r="AS61" s="25" t="s">
        <v>476</v>
      </c>
      <c r="AT61" s="25" t="s">
        <v>476</v>
      </c>
      <c r="AU61" s="14" t="s">
        <v>190</v>
      </c>
      <c r="AV61" s="25" t="s">
        <v>476</v>
      </c>
    </row>
    <row r="62" spans="1:49" s="19" customFormat="1" ht="30" x14ac:dyDescent="0.25">
      <c r="L62" s="40"/>
      <c r="M62" s="7" t="s">
        <v>486</v>
      </c>
      <c r="N62" s="7" t="s">
        <v>495</v>
      </c>
      <c r="O62" s="7" t="s">
        <v>212</v>
      </c>
      <c r="P62" s="7" t="s">
        <v>496</v>
      </c>
      <c r="Q62" s="7" t="s">
        <v>483</v>
      </c>
      <c r="R62" s="7" t="s">
        <v>145</v>
      </c>
      <c r="S62" s="14" t="str">
        <f t="shared" si="6"/>
        <v>202511</v>
      </c>
      <c r="T62" s="2"/>
      <c r="U62" s="25" t="s">
        <v>476</v>
      </c>
      <c r="V62" s="25" t="s">
        <v>476</v>
      </c>
      <c r="W62" s="14" t="s">
        <v>190</v>
      </c>
      <c r="X62" s="25" t="s">
        <v>476</v>
      </c>
      <c r="Z62" s="40"/>
      <c r="AA62" s="7" t="s">
        <v>486</v>
      </c>
      <c r="AB62" s="7" t="s">
        <v>495</v>
      </c>
      <c r="AC62" s="7" t="s">
        <v>212</v>
      </c>
      <c r="AD62" s="7" t="s">
        <v>496</v>
      </c>
      <c r="AE62" s="7" t="s">
        <v>483</v>
      </c>
      <c r="AF62" s="7" t="s">
        <v>145</v>
      </c>
      <c r="AG62" s="14" t="str">
        <f t="shared" si="7"/>
        <v>202511</v>
      </c>
      <c r="AH62" s="25" t="s">
        <v>476</v>
      </c>
      <c r="AI62" s="25" t="s">
        <v>476</v>
      </c>
      <c r="AJ62" s="14" t="s">
        <v>190</v>
      </c>
      <c r="AK62" s="25" t="s">
        <v>476</v>
      </c>
      <c r="AL62" s="40"/>
      <c r="AM62" s="7" t="s">
        <v>486</v>
      </c>
      <c r="AN62" s="7" t="s">
        <v>495</v>
      </c>
      <c r="AO62" s="7" t="s">
        <v>212</v>
      </c>
      <c r="AP62" s="7" t="s">
        <v>496</v>
      </c>
      <c r="AQ62" s="7" t="s">
        <v>483</v>
      </c>
      <c r="AR62" s="14" t="str">
        <f t="shared" si="8"/>
        <v>202511</v>
      </c>
      <c r="AS62" s="25" t="s">
        <v>476</v>
      </c>
      <c r="AT62" s="25" t="s">
        <v>476</v>
      </c>
      <c r="AU62" s="14" t="s">
        <v>190</v>
      </c>
      <c r="AV62" s="25" t="s">
        <v>476</v>
      </c>
    </row>
    <row r="63" spans="1:49" s="19" customFormat="1" ht="30" x14ac:dyDescent="0.25">
      <c r="L63" s="40"/>
      <c r="M63" s="7" t="s">
        <v>480</v>
      </c>
      <c r="N63" s="7" t="s">
        <v>497</v>
      </c>
      <c r="O63" s="7" t="s">
        <v>212</v>
      </c>
      <c r="P63" s="7" t="s">
        <v>498</v>
      </c>
      <c r="Q63" s="7" t="s">
        <v>483</v>
      </c>
      <c r="R63" s="7" t="s">
        <v>145</v>
      </c>
      <c r="S63" s="14" t="str">
        <f t="shared" si="6"/>
        <v>202511</v>
      </c>
      <c r="T63" s="2"/>
      <c r="U63" s="25" t="s">
        <v>476</v>
      </c>
      <c r="V63" s="25" t="s">
        <v>476</v>
      </c>
      <c r="W63" s="14" t="s">
        <v>190</v>
      </c>
      <c r="X63" s="25" t="s">
        <v>476</v>
      </c>
      <c r="Z63" s="40"/>
      <c r="AA63" s="7" t="s">
        <v>480</v>
      </c>
      <c r="AB63" s="7" t="s">
        <v>497</v>
      </c>
      <c r="AC63" s="7" t="s">
        <v>212</v>
      </c>
      <c r="AD63" s="7" t="s">
        <v>498</v>
      </c>
      <c r="AE63" s="7" t="s">
        <v>483</v>
      </c>
      <c r="AF63" s="7" t="s">
        <v>145</v>
      </c>
      <c r="AG63" s="14" t="str">
        <f t="shared" si="7"/>
        <v>202511</v>
      </c>
      <c r="AH63" s="25" t="s">
        <v>476</v>
      </c>
      <c r="AI63" s="25" t="s">
        <v>476</v>
      </c>
      <c r="AJ63" s="14" t="s">
        <v>190</v>
      </c>
      <c r="AK63" s="25" t="s">
        <v>476</v>
      </c>
      <c r="AL63" s="40"/>
      <c r="AM63" s="7" t="s">
        <v>480</v>
      </c>
      <c r="AN63" s="7" t="s">
        <v>497</v>
      </c>
      <c r="AO63" s="7" t="s">
        <v>212</v>
      </c>
      <c r="AP63" s="7" t="s">
        <v>614</v>
      </c>
      <c r="AQ63" s="7" t="s">
        <v>483</v>
      </c>
      <c r="AR63" s="14" t="str">
        <f t="shared" si="8"/>
        <v>202511</v>
      </c>
      <c r="AS63" s="25" t="s">
        <v>476</v>
      </c>
      <c r="AT63" s="25" t="s">
        <v>476</v>
      </c>
      <c r="AU63" s="14" t="s">
        <v>190</v>
      </c>
      <c r="AV63" s="25" t="s">
        <v>476</v>
      </c>
    </row>
    <row r="64" spans="1:49" ht="14.45" customHeight="1" x14ac:dyDescent="0.25">
      <c r="A64" s="45" t="s">
        <v>499</v>
      </c>
      <c r="B64" s="9" t="s">
        <v>500</v>
      </c>
      <c r="C64" s="6"/>
      <c r="D64" s="6"/>
      <c r="E64" s="6"/>
      <c r="F64" s="9" t="s">
        <v>501</v>
      </c>
      <c r="G64" s="9"/>
      <c r="H64" s="9"/>
      <c r="I64" s="6"/>
      <c r="J64" s="6"/>
      <c r="K64" s="6"/>
      <c r="M64" s="9" t="s">
        <v>502</v>
      </c>
      <c r="N64" s="6"/>
      <c r="O64" s="6"/>
      <c r="P64" s="6"/>
      <c r="Q64" s="9"/>
      <c r="R64" s="6"/>
      <c r="S64" s="13"/>
      <c r="T64" s="13"/>
      <c r="U64" s="13"/>
      <c r="V64" s="13"/>
      <c r="W64" s="13"/>
      <c r="X64" s="13"/>
      <c r="Y64" s="6"/>
      <c r="AA64" s="101" t="s">
        <v>503</v>
      </c>
      <c r="AB64" s="101"/>
      <c r="AC64" s="101"/>
      <c r="AD64" s="101"/>
      <c r="AE64" s="101"/>
      <c r="AF64" s="101"/>
      <c r="AG64" s="101"/>
      <c r="AH64" s="101"/>
      <c r="AI64" s="101"/>
      <c r="AJ64" s="101"/>
      <c r="AK64" s="101"/>
      <c r="AM64" s="9" t="s">
        <v>504</v>
      </c>
      <c r="AN64" s="6"/>
      <c r="AO64" s="6"/>
      <c r="AP64" s="6"/>
      <c r="AQ64" s="6"/>
      <c r="AR64" s="13"/>
      <c r="AS64" s="13"/>
      <c r="AT64" s="13"/>
      <c r="AU64" s="13"/>
      <c r="AV64" s="13"/>
      <c r="AW64" s="6"/>
    </row>
    <row r="65" spans="1:49" ht="30" x14ac:dyDescent="0.25">
      <c r="A65" s="33" t="s">
        <v>505</v>
      </c>
      <c r="B65" s="8" t="s">
        <v>398</v>
      </c>
      <c r="C65" s="8" t="s">
        <v>399</v>
      </c>
      <c r="D65" s="8" t="s">
        <v>400</v>
      </c>
      <c r="E65" s="8" t="s">
        <v>401</v>
      </c>
      <c r="F65" s="8" t="s">
        <v>402</v>
      </c>
      <c r="G65" s="8"/>
      <c r="H65" s="8"/>
      <c r="I65" s="8" t="s">
        <v>26</v>
      </c>
      <c r="J65" s="8"/>
      <c r="K65" s="23" t="s">
        <v>506</v>
      </c>
      <c r="M65" s="8" t="s">
        <v>398</v>
      </c>
      <c r="N65" s="8" t="s">
        <v>399</v>
      </c>
      <c r="O65" s="8" t="s">
        <v>400</v>
      </c>
      <c r="P65" s="8" t="s">
        <v>401</v>
      </c>
      <c r="Q65" s="8" t="s">
        <v>402</v>
      </c>
      <c r="R65" s="8" t="s">
        <v>145</v>
      </c>
      <c r="S65" s="34" t="str">
        <f t="shared" ref="S65:S84" si="9">YEAR(Q65) &amp; RIGHT("0" &amp; MONTH(Q65), 2)</f>
        <v>202511</v>
      </c>
      <c r="U65" s="34" t="s">
        <v>403</v>
      </c>
      <c r="V65" s="34" t="s">
        <v>403</v>
      </c>
      <c r="W65" s="34" t="s">
        <v>139</v>
      </c>
      <c r="X65" s="34" t="s">
        <v>403</v>
      </c>
      <c r="Y65" s="99" t="s">
        <v>507</v>
      </c>
      <c r="AA65" s="8" t="s">
        <v>398</v>
      </c>
      <c r="AB65" s="8" t="s">
        <v>399</v>
      </c>
      <c r="AC65" s="8" t="s">
        <v>400</v>
      </c>
      <c r="AD65" s="8" t="s">
        <v>401</v>
      </c>
      <c r="AE65" s="8" t="s">
        <v>402</v>
      </c>
      <c r="AF65" s="8" t="s">
        <v>145</v>
      </c>
      <c r="AG65" s="34" t="str">
        <f t="shared" ref="AG65:AG84" si="10">YEAR(AE65) &amp; RIGHT("0" &amp; MONTH(AE65), 2)</f>
        <v>202511</v>
      </c>
      <c r="AH65" s="47" t="s">
        <v>403</v>
      </c>
      <c r="AI65" s="47" t="s">
        <v>403</v>
      </c>
      <c r="AJ65" s="34" t="s">
        <v>139</v>
      </c>
      <c r="AK65" s="47" t="s">
        <v>403</v>
      </c>
      <c r="AM65" s="8" t="s">
        <v>398</v>
      </c>
      <c r="AN65" s="8" t="s">
        <v>399</v>
      </c>
      <c r="AO65" s="8" t="s">
        <v>400</v>
      </c>
      <c r="AP65" s="8" t="s">
        <v>401</v>
      </c>
      <c r="AQ65" s="8" t="s">
        <v>402</v>
      </c>
      <c r="AR65" s="34" t="str">
        <f t="shared" ref="AR65:AR84" si="11">YEAR(AQ65) &amp; RIGHT("0" &amp; MONTH(AQ65), 2)</f>
        <v>202511</v>
      </c>
      <c r="AS65" s="47" t="s">
        <v>403</v>
      </c>
      <c r="AT65" s="47" t="s">
        <v>403</v>
      </c>
      <c r="AU65" s="34" t="s">
        <v>139</v>
      </c>
      <c r="AV65" s="47" t="s">
        <v>403</v>
      </c>
      <c r="AW65" s="19"/>
    </row>
    <row r="66" spans="1:49" ht="30" x14ac:dyDescent="0.25">
      <c r="A66" s="19"/>
      <c r="B66" s="8" t="s">
        <v>398</v>
      </c>
      <c r="C66" s="8" t="s">
        <v>404</v>
      </c>
      <c r="D66" s="8" t="s">
        <v>405</v>
      </c>
      <c r="E66" s="8" t="s">
        <v>406</v>
      </c>
      <c r="F66" s="8" t="s">
        <v>407</v>
      </c>
      <c r="G66" s="8"/>
      <c r="H66" s="8"/>
      <c r="I66" s="8" t="s">
        <v>26</v>
      </c>
      <c r="J66" s="8"/>
      <c r="K66" s="23" t="s">
        <v>506</v>
      </c>
      <c r="M66" s="8" t="s">
        <v>398</v>
      </c>
      <c r="N66" s="8" t="s">
        <v>404</v>
      </c>
      <c r="O66" s="8" t="s">
        <v>405</v>
      </c>
      <c r="P66" s="8" t="s">
        <v>406</v>
      </c>
      <c r="Q66" s="8" t="s">
        <v>407</v>
      </c>
      <c r="R66" s="8" t="s">
        <v>145</v>
      </c>
      <c r="S66" s="34" t="str">
        <f t="shared" si="9"/>
        <v>202511</v>
      </c>
      <c r="U66" s="34" t="s">
        <v>403</v>
      </c>
      <c r="V66" s="34" t="s">
        <v>403</v>
      </c>
      <c r="W66" s="34" t="s">
        <v>139</v>
      </c>
      <c r="X66" s="34" t="s">
        <v>403</v>
      </c>
      <c r="Y66" s="99"/>
      <c r="AA66" s="8" t="s">
        <v>398</v>
      </c>
      <c r="AB66" s="8" t="s">
        <v>404</v>
      </c>
      <c r="AC66" s="8" t="s">
        <v>405</v>
      </c>
      <c r="AD66" s="8" t="s">
        <v>406</v>
      </c>
      <c r="AE66" s="8" t="s">
        <v>407</v>
      </c>
      <c r="AF66" s="8" t="s">
        <v>145</v>
      </c>
      <c r="AG66" s="34" t="str">
        <f t="shared" si="10"/>
        <v>202511</v>
      </c>
      <c r="AH66" s="47" t="s">
        <v>403</v>
      </c>
      <c r="AI66" s="47" t="s">
        <v>403</v>
      </c>
      <c r="AJ66" s="34" t="s">
        <v>139</v>
      </c>
      <c r="AK66" s="47" t="s">
        <v>403</v>
      </c>
      <c r="AM66" s="8" t="s">
        <v>398</v>
      </c>
      <c r="AN66" s="8" t="s">
        <v>404</v>
      </c>
      <c r="AO66" s="8" t="s">
        <v>405</v>
      </c>
      <c r="AP66" s="8" t="s">
        <v>406</v>
      </c>
      <c r="AQ66" s="8" t="s">
        <v>407</v>
      </c>
      <c r="AR66" s="34" t="str">
        <f t="shared" si="11"/>
        <v>202511</v>
      </c>
      <c r="AS66" s="47" t="s">
        <v>403</v>
      </c>
      <c r="AT66" s="47" t="s">
        <v>403</v>
      </c>
      <c r="AU66" s="34" t="s">
        <v>139</v>
      </c>
      <c r="AV66" s="47" t="s">
        <v>403</v>
      </c>
      <c r="AW66" s="19"/>
    </row>
    <row r="67" spans="1:49" x14ac:dyDescent="0.25">
      <c r="A67" s="19"/>
      <c r="B67" s="2" t="s">
        <v>408</v>
      </c>
      <c r="C67" s="2" t="s">
        <v>409</v>
      </c>
      <c r="D67" s="2" t="s">
        <v>209</v>
      </c>
      <c r="E67" s="7" t="s">
        <v>508</v>
      </c>
      <c r="F67" s="2" t="s">
        <v>411</v>
      </c>
      <c r="G67" s="23" t="s">
        <v>509</v>
      </c>
      <c r="H67" s="23" t="s">
        <v>509</v>
      </c>
      <c r="I67" s="19" t="s">
        <v>190</v>
      </c>
      <c r="J67" s="23" t="s">
        <v>509</v>
      </c>
      <c r="K67" s="19"/>
      <c r="M67" s="8" t="s">
        <v>408</v>
      </c>
      <c r="N67" s="8" t="s">
        <v>409</v>
      </c>
      <c r="O67" s="8" t="s">
        <v>209</v>
      </c>
      <c r="P67" s="8" t="s">
        <v>410</v>
      </c>
      <c r="Q67" s="8" t="s">
        <v>411</v>
      </c>
      <c r="R67" s="8" t="s">
        <v>145</v>
      </c>
      <c r="S67" s="34" t="str">
        <f t="shared" si="9"/>
        <v>202511</v>
      </c>
      <c r="U67" s="34" t="s">
        <v>403</v>
      </c>
      <c r="V67" s="34" t="s">
        <v>403</v>
      </c>
      <c r="W67" s="34" t="s">
        <v>139</v>
      </c>
      <c r="X67" s="34" t="s">
        <v>403</v>
      </c>
      <c r="Y67" s="99"/>
      <c r="AA67" s="8" t="s">
        <v>408</v>
      </c>
      <c r="AB67" s="8" t="s">
        <v>409</v>
      </c>
      <c r="AC67" s="8" t="s">
        <v>209</v>
      </c>
      <c r="AD67" s="8" t="s">
        <v>410</v>
      </c>
      <c r="AE67" s="8" t="s">
        <v>411</v>
      </c>
      <c r="AF67" s="8" t="s">
        <v>145</v>
      </c>
      <c r="AG67" s="34" t="str">
        <f t="shared" si="10"/>
        <v>202511</v>
      </c>
      <c r="AH67" s="47" t="s">
        <v>403</v>
      </c>
      <c r="AI67" s="47" t="s">
        <v>403</v>
      </c>
      <c r="AJ67" s="34" t="s">
        <v>139</v>
      </c>
      <c r="AK67" s="47" t="s">
        <v>403</v>
      </c>
      <c r="AM67" s="8" t="s">
        <v>408</v>
      </c>
      <c r="AN67" s="8" t="s">
        <v>409</v>
      </c>
      <c r="AO67" s="8" t="s">
        <v>209</v>
      </c>
      <c r="AP67" s="8" t="s">
        <v>410</v>
      </c>
      <c r="AQ67" s="8" t="s">
        <v>411</v>
      </c>
      <c r="AR67" s="34" t="str">
        <f t="shared" si="11"/>
        <v>202511</v>
      </c>
      <c r="AS67" s="47" t="s">
        <v>403</v>
      </c>
      <c r="AT67" s="47" t="s">
        <v>403</v>
      </c>
      <c r="AU67" s="34" t="s">
        <v>139</v>
      </c>
      <c r="AV67" s="47" t="s">
        <v>403</v>
      </c>
      <c r="AW67" s="19"/>
    </row>
    <row r="68" spans="1:49" x14ac:dyDescent="0.25">
      <c r="A68" s="19"/>
      <c r="B68" s="2" t="s">
        <v>412</v>
      </c>
      <c r="C68" s="2" t="s">
        <v>413</v>
      </c>
      <c r="D68" s="2" t="s">
        <v>414</v>
      </c>
      <c r="E68" s="2" t="s">
        <v>415</v>
      </c>
      <c r="F68" s="2" t="s">
        <v>416</v>
      </c>
      <c r="G68" s="23" t="s">
        <v>509</v>
      </c>
      <c r="H68" s="23" t="s">
        <v>509</v>
      </c>
      <c r="I68" s="19" t="s">
        <v>190</v>
      </c>
      <c r="J68" s="23" t="s">
        <v>509</v>
      </c>
      <c r="K68" s="19"/>
      <c r="M68" s="8" t="s">
        <v>412</v>
      </c>
      <c r="N68" s="8" t="s">
        <v>413</v>
      </c>
      <c r="O68" s="8" t="s">
        <v>414</v>
      </c>
      <c r="P68" s="8" t="s">
        <v>415</v>
      </c>
      <c r="Q68" s="8" t="s">
        <v>416</v>
      </c>
      <c r="R68" s="8" t="s">
        <v>145</v>
      </c>
      <c r="S68" s="34" t="str">
        <f t="shared" si="9"/>
        <v>202511</v>
      </c>
      <c r="U68" s="34" t="s">
        <v>403</v>
      </c>
      <c r="V68" s="34" t="s">
        <v>403</v>
      </c>
      <c r="W68" s="34" t="s">
        <v>139</v>
      </c>
      <c r="X68" s="34" t="s">
        <v>403</v>
      </c>
      <c r="Y68" s="99"/>
      <c r="AA68" s="8" t="s">
        <v>412</v>
      </c>
      <c r="AB68" s="8" t="s">
        <v>413</v>
      </c>
      <c r="AC68" s="8" t="s">
        <v>414</v>
      </c>
      <c r="AD68" s="8" t="s">
        <v>415</v>
      </c>
      <c r="AE68" s="8" t="s">
        <v>416</v>
      </c>
      <c r="AF68" s="8" t="s">
        <v>145</v>
      </c>
      <c r="AG68" s="34" t="str">
        <f t="shared" si="10"/>
        <v>202511</v>
      </c>
      <c r="AH68" s="47" t="s">
        <v>403</v>
      </c>
      <c r="AI68" s="47" t="s">
        <v>403</v>
      </c>
      <c r="AJ68" s="34" t="s">
        <v>139</v>
      </c>
      <c r="AK68" s="47" t="s">
        <v>403</v>
      </c>
      <c r="AM68" s="8" t="s">
        <v>412</v>
      </c>
      <c r="AN68" s="8" t="s">
        <v>413</v>
      </c>
      <c r="AO68" s="8" t="s">
        <v>414</v>
      </c>
      <c r="AP68" s="8" t="s">
        <v>415</v>
      </c>
      <c r="AQ68" s="8" t="s">
        <v>416</v>
      </c>
      <c r="AR68" s="34" t="str">
        <f t="shared" si="11"/>
        <v>202511</v>
      </c>
      <c r="AS68" s="47" t="s">
        <v>403</v>
      </c>
      <c r="AT68" s="47" t="s">
        <v>403</v>
      </c>
      <c r="AU68" s="34" t="s">
        <v>139</v>
      </c>
      <c r="AV68" s="47" t="s">
        <v>403</v>
      </c>
      <c r="AW68" s="19"/>
    </row>
    <row r="69" spans="1:49" x14ac:dyDescent="0.25">
      <c r="A69" s="19"/>
      <c r="B69" s="2" t="s">
        <v>412</v>
      </c>
      <c r="C69" s="2" t="s">
        <v>417</v>
      </c>
      <c r="D69" s="2" t="s">
        <v>414</v>
      </c>
      <c r="E69" s="2" t="s">
        <v>418</v>
      </c>
      <c r="F69" s="2" t="s">
        <v>419</v>
      </c>
      <c r="G69" s="23" t="s">
        <v>509</v>
      </c>
      <c r="H69" s="23" t="s">
        <v>509</v>
      </c>
      <c r="I69" s="19" t="s">
        <v>190</v>
      </c>
      <c r="J69" s="23" t="s">
        <v>509</v>
      </c>
      <c r="K69" s="19"/>
      <c r="M69" s="8" t="s">
        <v>412</v>
      </c>
      <c r="N69" s="8" t="s">
        <v>417</v>
      </c>
      <c r="O69" s="8" t="s">
        <v>414</v>
      </c>
      <c r="P69" s="8" t="s">
        <v>418</v>
      </c>
      <c r="Q69" s="8" t="s">
        <v>419</v>
      </c>
      <c r="R69" s="8" t="s">
        <v>145</v>
      </c>
      <c r="S69" s="34" t="str">
        <f t="shared" si="9"/>
        <v>202511</v>
      </c>
      <c r="U69" s="34" t="s">
        <v>403</v>
      </c>
      <c r="V69" s="34" t="s">
        <v>403</v>
      </c>
      <c r="W69" s="34" t="s">
        <v>139</v>
      </c>
      <c r="X69" s="34" t="s">
        <v>403</v>
      </c>
      <c r="Y69" s="99"/>
      <c r="AA69" s="8" t="s">
        <v>412</v>
      </c>
      <c r="AB69" s="8" t="s">
        <v>417</v>
      </c>
      <c r="AC69" s="8" t="s">
        <v>414</v>
      </c>
      <c r="AD69" s="8" t="s">
        <v>418</v>
      </c>
      <c r="AE69" s="8" t="s">
        <v>419</v>
      </c>
      <c r="AF69" s="8" t="s">
        <v>145</v>
      </c>
      <c r="AG69" s="34" t="str">
        <f t="shared" si="10"/>
        <v>202511</v>
      </c>
      <c r="AH69" s="47" t="s">
        <v>403</v>
      </c>
      <c r="AI69" s="47" t="s">
        <v>403</v>
      </c>
      <c r="AJ69" s="34" t="s">
        <v>139</v>
      </c>
      <c r="AK69" s="47" t="s">
        <v>403</v>
      </c>
      <c r="AM69" s="8" t="s">
        <v>412</v>
      </c>
      <c r="AN69" s="8" t="s">
        <v>417</v>
      </c>
      <c r="AO69" s="8" t="s">
        <v>414</v>
      </c>
      <c r="AP69" s="8" t="s">
        <v>418</v>
      </c>
      <c r="AQ69" s="8" t="s">
        <v>419</v>
      </c>
      <c r="AR69" s="34" t="str">
        <f t="shared" si="11"/>
        <v>202511</v>
      </c>
      <c r="AS69" s="47" t="s">
        <v>403</v>
      </c>
      <c r="AT69" s="47" t="s">
        <v>403</v>
      </c>
      <c r="AU69" s="34" t="s">
        <v>139</v>
      </c>
      <c r="AV69" s="47" t="s">
        <v>403</v>
      </c>
      <c r="AW69" s="19"/>
    </row>
    <row r="70" spans="1:49" x14ac:dyDescent="0.25">
      <c r="A70" s="19"/>
      <c r="B70" s="2" t="s">
        <v>412</v>
      </c>
      <c r="C70" s="2" t="s">
        <v>420</v>
      </c>
      <c r="D70" s="2" t="s">
        <v>421</v>
      </c>
      <c r="E70" s="2" t="s">
        <v>422</v>
      </c>
      <c r="F70" s="2" t="s">
        <v>419</v>
      </c>
      <c r="G70" s="23" t="s">
        <v>509</v>
      </c>
      <c r="H70" s="23" t="s">
        <v>509</v>
      </c>
      <c r="I70" s="19" t="s">
        <v>190</v>
      </c>
      <c r="J70" s="23" t="s">
        <v>509</v>
      </c>
      <c r="K70" s="19"/>
      <c r="M70" s="8" t="s">
        <v>412</v>
      </c>
      <c r="N70" s="8" t="s">
        <v>420</v>
      </c>
      <c r="O70" s="8" t="s">
        <v>421</v>
      </c>
      <c r="P70" s="8" t="s">
        <v>422</v>
      </c>
      <c r="Q70" s="8" t="s">
        <v>419</v>
      </c>
      <c r="R70" s="8" t="s">
        <v>145</v>
      </c>
      <c r="S70" s="34" t="str">
        <f t="shared" si="9"/>
        <v>202511</v>
      </c>
      <c r="U70" s="34" t="s">
        <v>403</v>
      </c>
      <c r="V70" s="34" t="s">
        <v>403</v>
      </c>
      <c r="W70" s="34" t="s">
        <v>139</v>
      </c>
      <c r="X70" s="34" t="s">
        <v>403</v>
      </c>
      <c r="Y70" s="99"/>
      <c r="AA70" s="8" t="s">
        <v>412</v>
      </c>
      <c r="AB70" s="8" t="s">
        <v>420</v>
      </c>
      <c r="AC70" s="8" t="s">
        <v>421</v>
      </c>
      <c r="AD70" s="8" t="s">
        <v>422</v>
      </c>
      <c r="AE70" s="8" t="s">
        <v>419</v>
      </c>
      <c r="AF70" s="8" t="s">
        <v>145</v>
      </c>
      <c r="AG70" s="34" t="str">
        <f t="shared" si="10"/>
        <v>202511</v>
      </c>
      <c r="AH70" s="47" t="s">
        <v>403</v>
      </c>
      <c r="AI70" s="47" t="s">
        <v>403</v>
      </c>
      <c r="AJ70" s="34" t="s">
        <v>139</v>
      </c>
      <c r="AK70" s="47" t="s">
        <v>403</v>
      </c>
      <c r="AM70" s="8" t="s">
        <v>412</v>
      </c>
      <c r="AN70" s="8" t="s">
        <v>420</v>
      </c>
      <c r="AO70" s="8" t="s">
        <v>421</v>
      </c>
      <c r="AP70" s="8" t="s">
        <v>422</v>
      </c>
      <c r="AQ70" s="8" t="s">
        <v>419</v>
      </c>
      <c r="AR70" s="34" t="str">
        <f t="shared" si="11"/>
        <v>202511</v>
      </c>
      <c r="AS70" s="47" t="s">
        <v>403</v>
      </c>
      <c r="AT70" s="47" t="s">
        <v>403</v>
      </c>
      <c r="AU70" s="34" t="s">
        <v>139</v>
      </c>
      <c r="AV70" s="47" t="s">
        <v>403</v>
      </c>
      <c r="AW70" s="19"/>
    </row>
    <row r="71" spans="1:49" x14ac:dyDescent="0.25">
      <c r="A71" s="19"/>
      <c r="B71" s="2" t="s">
        <v>423</v>
      </c>
      <c r="C71" s="2" t="s">
        <v>424</v>
      </c>
      <c r="D71" s="2" t="s">
        <v>425</v>
      </c>
      <c r="E71" s="2" t="s">
        <v>426</v>
      </c>
      <c r="F71" s="2" t="s">
        <v>427</v>
      </c>
      <c r="G71" s="23" t="s">
        <v>509</v>
      </c>
      <c r="H71" s="23" t="s">
        <v>509</v>
      </c>
      <c r="I71" s="19" t="s">
        <v>190</v>
      </c>
      <c r="J71" s="23" t="s">
        <v>509</v>
      </c>
      <c r="K71" s="19"/>
      <c r="M71" s="8" t="s">
        <v>423</v>
      </c>
      <c r="N71" s="8" t="s">
        <v>424</v>
      </c>
      <c r="O71" s="8" t="s">
        <v>425</v>
      </c>
      <c r="P71" s="8" t="s">
        <v>426</v>
      </c>
      <c r="Q71" s="8" t="s">
        <v>427</v>
      </c>
      <c r="R71" s="8" t="s">
        <v>145</v>
      </c>
      <c r="S71" s="34" t="str">
        <f t="shared" si="9"/>
        <v>202511</v>
      </c>
      <c r="U71" s="34" t="s">
        <v>403</v>
      </c>
      <c r="V71" s="34" t="s">
        <v>403</v>
      </c>
      <c r="W71" s="34" t="s">
        <v>139</v>
      </c>
      <c r="X71" s="34" t="s">
        <v>403</v>
      </c>
      <c r="Y71" s="99"/>
      <c r="AA71" s="8" t="s">
        <v>423</v>
      </c>
      <c r="AB71" s="8" t="s">
        <v>424</v>
      </c>
      <c r="AC71" s="8" t="s">
        <v>425</v>
      </c>
      <c r="AD71" s="8" t="s">
        <v>426</v>
      </c>
      <c r="AE71" s="8" t="s">
        <v>427</v>
      </c>
      <c r="AF71" s="8" t="s">
        <v>145</v>
      </c>
      <c r="AG71" s="34" t="str">
        <f t="shared" si="10"/>
        <v>202511</v>
      </c>
      <c r="AH71" s="47" t="s">
        <v>403</v>
      </c>
      <c r="AI71" s="47" t="s">
        <v>403</v>
      </c>
      <c r="AJ71" s="34" t="s">
        <v>139</v>
      </c>
      <c r="AK71" s="47" t="s">
        <v>403</v>
      </c>
      <c r="AM71" s="8" t="s">
        <v>423</v>
      </c>
      <c r="AN71" s="8" t="s">
        <v>424</v>
      </c>
      <c r="AO71" s="8" t="s">
        <v>425</v>
      </c>
      <c r="AP71" s="8" t="s">
        <v>426</v>
      </c>
      <c r="AQ71" s="8" t="s">
        <v>427</v>
      </c>
      <c r="AR71" s="34" t="str">
        <f t="shared" si="11"/>
        <v>202511</v>
      </c>
      <c r="AS71" s="47" t="s">
        <v>403</v>
      </c>
      <c r="AT71" s="47" t="s">
        <v>403</v>
      </c>
      <c r="AU71" s="34" t="s">
        <v>139</v>
      </c>
      <c r="AV71" s="47" t="s">
        <v>403</v>
      </c>
      <c r="AW71" s="19"/>
    </row>
    <row r="72" spans="1:49" x14ac:dyDescent="0.25">
      <c r="A72" s="19"/>
      <c r="B72" s="2" t="s">
        <v>428</v>
      </c>
      <c r="C72" s="2" t="s">
        <v>429</v>
      </c>
      <c r="D72" s="2" t="s">
        <v>425</v>
      </c>
      <c r="E72" s="2" t="s">
        <v>430</v>
      </c>
      <c r="F72" s="2" t="s">
        <v>427</v>
      </c>
      <c r="G72" s="23" t="s">
        <v>509</v>
      </c>
      <c r="H72" s="23" t="s">
        <v>509</v>
      </c>
      <c r="I72" s="19" t="s">
        <v>190</v>
      </c>
      <c r="J72" s="23" t="s">
        <v>509</v>
      </c>
      <c r="K72" s="19"/>
      <c r="M72" s="8" t="s">
        <v>428</v>
      </c>
      <c r="N72" s="8" t="s">
        <v>429</v>
      </c>
      <c r="O72" s="8" t="s">
        <v>425</v>
      </c>
      <c r="P72" s="8" t="s">
        <v>430</v>
      </c>
      <c r="Q72" s="8" t="s">
        <v>427</v>
      </c>
      <c r="R72" s="8" t="s">
        <v>145</v>
      </c>
      <c r="S72" s="34" t="str">
        <f t="shared" si="9"/>
        <v>202511</v>
      </c>
      <c r="U72" s="34" t="s">
        <v>403</v>
      </c>
      <c r="V72" s="34" t="s">
        <v>403</v>
      </c>
      <c r="W72" s="34" t="s">
        <v>139</v>
      </c>
      <c r="X72" s="34" t="s">
        <v>403</v>
      </c>
      <c r="Y72" s="99"/>
      <c r="AA72" s="8" t="s">
        <v>428</v>
      </c>
      <c r="AB72" s="8" t="s">
        <v>429</v>
      </c>
      <c r="AC72" s="8" t="s">
        <v>425</v>
      </c>
      <c r="AD72" s="8" t="s">
        <v>430</v>
      </c>
      <c r="AE72" s="8" t="s">
        <v>427</v>
      </c>
      <c r="AF72" s="8" t="s">
        <v>145</v>
      </c>
      <c r="AG72" s="34" t="str">
        <f t="shared" si="10"/>
        <v>202511</v>
      </c>
      <c r="AH72" s="47" t="s">
        <v>403</v>
      </c>
      <c r="AI72" s="47" t="s">
        <v>403</v>
      </c>
      <c r="AJ72" s="34" t="s">
        <v>139</v>
      </c>
      <c r="AK72" s="47" t="s">
        <v>403</v>
      </c>
      <c r="AM72" s="8" t="s">
        <v>428</v>
      </c>
      <c r="AN72" s="8" t="s">
        <v>429</v>
      </c>
      <c r="AO72" s="8" t="s">
        <v>425</v>
      </c>
      <c r="AP72" s="8" t="s">
        <v>430</v>
      </c>
      <c r="AQ72" s="8" t="s">
        <v>427</v>
      </c>
      <c r="AR72" s="34" t="str">
        <f t="shared" si="11"/>
        <v>202511</v>
      </c>
      <c r="AS72" s="47" t="s">
        <v>403</v>
      </c>
      <c r="AT72" s="47" t="s">
        <v>403</v>
      </c>
      <c r="AU72" s="34" t="s">
        <v>139</v>
      </c>
      <c r="AV72" s="47" t="s">
        <v>403</v>
      </c>
      <c r="AW72" s="19"/>
    </row>
    <row r="73" spans="1:49" x14ac:dyDescent="0.25">
      <c r="A73" s="19"/>
      <c r="B73" s="2" t="s">
        <v>428</v>
      </c>
      <c r="C73" s="2" t="s">
        <v>431</v>
      </c>
      <c r="D73" s="2" t="s">
        <v>425</v>
      </c>
      <c r="E73" s="2" t="s">
        <v>432</v>
      </c>
      <c r="F73" s="2" t="s">
        <v>427</v>
      </c>
      <c r="G73" s="23" t="s">
        <v>509</v>
      </c>
      <c r="H73" s="23" t="s">
        <v>509</v>
      </c>
      <c r="I73" s="19" t="s">
        <v>190</v>
      </c>
      <c r="J73" s="23" t="s">
        <v>509</v>
      </c>
      <c r="K73" s="19"/>
      <c r="M73" s="8" t="s">
        <v>428</v>
      </c>
      <c r="N73" s="8" t="s">
        <v>431</v>
      </c>
      <c r="O73" s="8" t="s">
        <v>425</v>
      </c>
      <c r="P73" s="8" t="s">
        <v>432</v>
      </c>
      <c r="Q73" s="8" t="s">
        <v>427</v>
      </c>
      <c r="R73" s="8" t="s">
        <v>145</v>
      </c>
      <c r="S73" s="34" t="str">
        <f t="shared" si="9"/>
        <v>202511</v>
      </c>
      <c r="U73" s="34" t="s">
        <v>403</v>
      </c>
      <c r="V73" s="34" t="s">
        <v>403</v>
      </c>
      <c r="W73" s="34" t="s">
        <v>139</v>
      </c>
      <c r="X73" s="34" t="s">
        <v>403</v>
      </c>
      <c r="Y73" s="99"/>
      <c r="AA73" s="8" t="s">
        <v>428</v>
      </c>
      <c r="AB73" s="8" t="s">
        <v>431</v>
      </c>
      <c r="AC73" s="8" t="s">
        <v>425</v>
      </c>
      <c r="AD73" s="8" t="s">
        <v>432</v>
      </c>
      <c r="AE73" s="8" t="s">
        <v>427</v>
      </c>
      <c r="AF73" s="8" t="s">
        <v>145</v>
      </c>
      <c r="AG73" s="34" t="str">
        <f t="shared" si="10"/>
        <v>202511</v>
      </c>
      <c r="AH73" s="47" t="s">
        <v>403</v>
      </c>
      <c r="AI73" s="47" t="s">
        <v>403</v>
      </c>
      <c r="AJ73" s="34" t="s">
        <v>139</v>
      </c>
      <c r="AK73" s="47" t="s">
        <v>403</v>
      </c>
      <c r="AM73" s="8" t="s">
        <v>428</v>
      </c>
      <c r="AN73" s="8" t="s">
        <v>431</v>
      </c>
      <c r="AO73" s="8" t="s">
        <v>425</v>
      </c>
      <c r="AP73" s="8" t="s">
        <v>432</v>
      </c>
      <c r="AQ73" s="8" t="s">
        <v>427</v>
      </c>
      <c r="AR73" s="34" t="str">
        <f t="shared" si="11"/>
        <v>202511</v>
      </c>
      <c r="AS73" s="47" t="s">
        <v>403</v>
      </c>
      <c r="AT73" s="47" t="s">
        <v>403</v>
      </c>
      <c r="AU73" s="34" t="s">
        <v>139</v>
      </c>
      <c r="AV73" s="47" t="s">
        <v>403</v>
      </c>
      <c r="AW73" s="19"/>
    </row>
    <row r="74" spans="1:49" x14ac:dyDescent="0.25">
      <c r="A74" s="19"/>
      <c r="B74" s="2" t="s">
        <v>433</v>
      </c>
      <c r="C74" s="2" t="s">
        <v>434</v>
      </c>
      <c r="D74" s="2" t="s">
        <v>425</v>
      </c>
      <c r="E74" s="2" t="s">
        <v>435</v>
      </c>
      <c r="F74" s="2" t="s">
        <v>427</v>
      </c>
      <c r="G74" s="23" t="s">
        <v>509</v>
      </c>
      <c r="H74" s="23" t="s">
        <v>509</v>
      </c>
      <c r="I74" s="19" t="s">
        <v>190</v>
      </c>
      <c r="J74" s="23" t="s">
        <v>509</v>
      </c>
      <c r="K74" s="19"/>
      <c r="M74" s="8" t="s">
        <v>433</v>
      </c>
      <c r="N74" s="8" t="s">
        <v>434</v>
      </c>
      <c r="O74" s="8" t="s">
        <v>425</v>
      </c>
      <c r="P74" s="8" t="s">
        <v>435</v>
      </c>
      <c r="Q74" s="8" t="s">
        <v>427</v>
      </c>
      <c r="R74" s="8" t="s">
        <v>145</v>
      </c>
      <c r="S74" s="34" t="str">
        <f t="shared" si="9"/>
        <v>202511</v>
      </c>
      <c r="U74" s="34" t="s">
        <v>403</v>
      </c>
      <c r="V74" s="34" t="s">
        <v>403</v>
      </c>
      <c r="W74" s="34" t="s">
        <v>139</v>
      </c>
      <c r="X74" s="34" t="s">
        <v>403</v>
      </c>
      <c r="Y74" s="99"/>
      <c r="AA74" s="8" t="s">
        <v>433</v>
      </c>
      <c r="AB74" s="8" t="s">
        <v>434</v>
      </c>
      <c r="AC74" s="8" t="s">
        <v>425</v>
      </c>
      <c r="AD74" s="8" t="s">
        <v>435</v>
      </c>
      <c r="AE74" s="8" t="s">
        <v>427</v>
      </c>
      <c r="AF74" s="8" t="s">
        <v>145</v>
      </c>
      <c r="AG74" s="34" t="str">
        <f t="shared" si="10"/>
        <v>202511</v>
      </c>
      <c r="AH74" s="47" t="s">
        <v>403</v>
      </c>
      <c r="AI74" s="47" t="s">
        <v>403</v>
      </c>
      <c r="AJ74" s="34" t="s">
        <v>139</v>
      </c>
      <c r="AK74" s="47" t="s">
        <v>403</v>
      </c>
      <c r="AM74" s="8" t="s">
        <v>433</v>
      </c>
      <c r="AN74" s="8" t="s">
        <v>434</v>
      </c>
      <c r="AO74" s="8" t="s">
        <v>425</v>
      </c>
      <c r="AP74" s="8" t="s">
        <v>435</v>
      </c>
      <c r="AQ74" s="8" t="s">
        <v>427</v>
      </c>
      <c r="AR74" s="34" t="str">
        <f t="shared" si="11"/>
        <v>202511</v>
      </c>
      <c r="AS74" s="47" t="s">
        <v>403</v>
      </c>
      <c r="AT74" s="47" t="s">
        <v>403</v>
      </c>
      <c r="AU74" s="34" t="s">
        <v>139</v>
      </c>
      <c r="AV74" s="47" t="s">
        <v>403</v>
      </c>
      <c r="AW74" s="19"/>
    </row>
    <row r="75" spans="1:49" x14ac:dyDescent="0.25">
      <c r="A75" s="19"/>
      <c r="B75" s="2" t="s">
        <v>438</v>
      </c>
      <c r="C75" s="2" t="s">
        <v>439</v>
      </c>
      <c r="D75" s="2" t="s">
        <v>212</v>
      </c>
      <c r="E75" s="2" t="s">
        <v>440</v>
      </c>
      <c r="F75" s="2" t="s">
        <v>441</v>
      </c>
      <c r="G75" s="23" t="s">
        <v>509</v>
      </c>
      <c r="H75" s="23" t="s">
        <v>509</v>
      </c>
      <c r="I75" s="19" t="s">
        <v>190</v>
      </c>
      <c r="J75" s="23" t="s">
        <v>509</v>
      </c>
      <c r="K75" s="19"/>
      <c r="M75" s="8" t="s">
        <v>438</v>
      </c>
      <c r="N75" s="8" t="s">
        <v>439</v>
      </c>
      <c r="O75" s="8" t="s">
        <v>212</v>
      </c>
      <c r="P75" s="8" t="s">
        <v>440</v>
      </c>
      <c r="Q75" s="8" t="s">
        <v>441</v>
      </c>
      <c r="R75" s="8" t="s">
        <v>145</v>
      </c>
      <c r="S75" s="34" t="str">
        <f t="shared" si="9"/>
        <v>202511</v>
      </c>
      <c r="U75" s="34" t="s">
        <v>442</v>
      </c>
      <c r="V75" s="34" t="s">
        <v>442</v>
      </c>
      <c r="W75" s="34" t="s">
        <v>139</v>
      </c>
      <c r="X75" s="34" t="s">
        <v>442</v>
      </c>
      <c r="Y75" s="99"/>
      <c r="AA75" s="8" t="s">
        <v>438</v>
      </c>
      <c r="AB75" s="8" t="s">
        <v>439</v>
      </c>
      <c r="AC75" s="8" t="s">
        <v>212</v>
      </c>
      <c r="AD75" s="8" t="s">
        <v>440</v>
      </c>
      <c r="AE75" s="8" t="s">
        <v>441</v>
      </c>
      <c r="AF75" s="8" t="s">
        <v>145</v>
      </c>
      <c r="AG75" s="34" t="str">
        <f t="shared" si="10"/>
        <v>202511</v>
      </c>
      <c r="AH75" s="47" t="s">
        <v>442</v>
      </c>
      <c r="AI75" s="47" t="s">
        <v>442</v>
      </c>
      <c r="AJ75" s="34" t="s">
        <v>139</v>
      </c>
      <c r="AK75" s="47" t="s">
        <v>442</v>
      </c>
      <c r="AM75" s="8" t="s">
        <v>438</v>
      </c>
      <c r="AN75" s="8" t="s">
        <v>439</v>
      </c>
      <c r="AO75" s="8" t="s">
        <v>212</v>
      </c>
      <c r="AP75" s="8" t="s">
        <v>440</v>
      </c>
      <c r="AQ75" s="8" t="s">
        <v>441</v>
      </c>
      <c r="AR75" s="34" t="str">
        <f t="shared" si="11"/>
        <v>202511</v>
      </c>
      <c r="AS75" s="47" t="s">
        <v>442</v>
      </c>
      <c r="AT75" s="47" t="s">
        <v>442</v>
      </c>
      <c r="AU75" s="34" t="s">
        <v>139</v>
      </c>
      <c r="AV75" s="47" t="s">
        <v>442</v>
      </c>
      <c r="AW75" s="19"/>
    </row>
    <row r="76" spans="1:49" x14ac:dyDescent="0.25">
      <c r="B76" s="2" t="s">
        <v>443</v>
      </c>
      <c r="C76" s="2" t="s">
        <v>444</v>
      </c>
      <c r="D76" s="2" t="s">
        <v>212</v>
      </c>
      <c r="E76" s="2" t="s">
        <v>445</v>
      </c>
      <c r="F76" s="2" t="s">
        <v>446</v>
      </c>
      <c r="G76" s="23" t="s">
        <v>509</v>
      </c>
      <c r="H76" s="23" t="s">
        <v>509</v>
      </c>
      <c r="I76" s="19" t="s">
        <v>190</v>
      </c>
      <c r="J76" s="23" t="s">
        <v>509</v>
      </c>
      <c r="M76" s="8" t="s">
        <v>443</v>
      </c>
      <c r="N76" s="8" t="s">
        <v>444</v>
      </c>
      <c r="O76" s="8" t="s">
        <v>212</v>
      </c>
      <c r="P76" s="8" t="s">
        <v>445</v>
      </c>
      <c r="Q76" s="8" t="s">
        <v>446</v>
      </c>
      <c r="R76" s="8" t="s">
        <v>145</v>
      </c>
      <c r="S76" s="34" t="str">
        <f t="shared" si="9"/>
        <v>202511</v>
      </c>
      <c r="U76" s="34" t="s">
        <v>442</v>
      </c>
      <c r="V76" s="34" t="s">
        <v>442</v>
      </c>
      <c r="W76" s="34" t="s">
        <v>139</v>
      </c>
      <c r="X76" s="34" t="s">
        <v>442</v>
      </c>
      <c r="Y76" s="99"/>
      <c r="AA76" s="8" t="s">
        <v>443</v>
      </c>
      <c r="AB76" s="8" t="s">
        <v>444</v>
      </c>
      <c r="AC76" s="8" t="s">
        <v>212</v>
      </c>
      <c r="AD76" s="8" t="s">
        <v>445</v>
      </c>
      <c r="AE76" s="8" t="s">
        <v>446</v>
      </c>
      <c r="AF76" s="8" t="s">
        <v>145</v>
      </c>
      <c r="AG76" s="34" t="str">
        <f t="shared" si="10"/>
        <v>202511</v>
      </c>
      <c r="AH76" s="47" t="s">
        <v>442</v>
      </c>
      <c r="AI76" s="47" t="s">
        <v>442</v>
      </c>
      <c r="AJ76" s="34" t="s">
        <v>139</v>
      </c>
      <c r="AK76" s="47" t="s">
        <v>442</v>
      </c>
      <c r="AM76" s="8" t="s">
        <v>443</v>
      </c>
      <c r="AN76" s="8" t="s">
        <v>444</v>
      </c>
      <c r="AO76" s="8" t="s">
        <v>212</v>
      </c>
      <c r="AP76" s="8" t="s">
        <v>445</v>
      </c>
      <c r="AQ76" s="8" t="s">
        <v>446</v>
      </c>
      <c r="AR76" s="34" t="str">
        <f t="shared" si="11"/>
        <v>202511</v>
      </c>
      <c r="AS76" s="47" t="s">
        <v>442</v>
      </c>
      <c r="AT76" s="47" t="s">
        <v>442</v>
      </c>
      <c r="AU76" s="34" t="s">
        <v>139</v>
      </c>
      <c r="AV76" s="47" t="s">
        <v>442</v>
      </c>
    </row>
    <row r="77" spans="1:49" x14ac:dyDescent="0.25">
      <c r="B77" s="2" t="s">
        <v>447</v>
      </c>
      <c r="C77" s="2" t="s">
        <v>448</v>
      </c>
      <c r="D77" s="2" t="s">
        <v>449</v>
      </c>
      <c r="E77" s="2" t="s">
        <v>450</v>
      </c>
      <c r="F77" s="2" t="s">
        <v>451</v>
      </c>
      <c r="G77" s="23" t="s">
        <v>509</v>
      </c>
      <c r="H77" s="23" t="s">
        <v>509</v>
      </c>
      <c r="I77" s="19" t="s">
        <v>190</v>
      </c>
      <c r="J77" s="23" t="s">
        <v>509</v>
      </c>
      <c r="M77" s="8" t="s">
        <v>447</v>
      </c>
      <c r="N77" s="8" t="s">
        <v>448</v>
      </c>
      <c r="O77" s="8" t="s">
        <v>449</v>
      </c>
      <c r="P77" s="8" t="s">
        <v>450</v>
      </c>
      <c r="Q77" s="8" t="s">
        <v>451</v>
      </c>
      <c r="R77" s="8" t="s">
        <v>145</v>
      </c>
      <c r="S77" s="34" t="str">
        <f t="shared" si="9"/>
        <v>202511</v>
      </c>
      <c r="U77" s="34" t="s">
        <v>442</v>
      </c>
      <c r="V77" s="34" t="s">
        <v>442</v>
      </c>
      <c r="W77" s="34" t="s">
        <v>139</v>
      </c>
      <c r="X77" s="34" t="s">
        <v>442</v>
      </c>
      <c r="Y77" s="99"/>
      <c r="AA77" s="8" t="s">
        <v>447</v>
      </c>
      <c r="AB77" s="8" t="s">
        <v>448</v>
      </c>
      <c r="AC77" s="8" t="s">
        <v>449</v>
      </c>
      <c r="AD77" s="8" t="s">
        <v>450</v>
      </c>
      <c r="AE77" s="8" t="s">
        <v>451</v>
      </c>
      <c r="AF77" s="8" t="s">
        <v>145</v>
      </c>
      <c r="AG77" s="34" t="str">
        <f t="shared" si="10"/>
        <v>202511</v>
      </c>
      <c r="AH77" s="47" t="s">
        <v>442</v>
      </c>
      <c r="AI77" s="47" t="s">
        <v>442</v>
      </c>
      <c r="AJ77" s="34" t="s">
        <v>139</v>
      </c>
      <c r="AK77" s="47" t="s">
        <v>442</v>
      </c>
      <c r="AM77" s="8" t="s">
        <v>447</v>
      </c>
      <c r="AN77" s="8" t="s">
        <v>448</v>
      </c>
      <c r="AO77" s="8" t="s">
        <v>449</v>
      </c>
      <c r="AP77" s="8" t="s">
        <v>450</v>
      </c>
      <c r="AQ77" s="8" t="s">
        <v>451</v>
      </c>
      <c r="AR77" s="34" t="str">
        <f t="shared" si="11"/>
        <v>202511</v>
      </c>
      <c r="AS77" s="47" t="s">
        <v>442</v>
      </c>
      <c r="AT77" s="47" t="s">
        <v>442</v>
      </c>
      <c r="AU77" s="34" t="s">
        <v>139</v>
      </c>
      <c r="AV77" s="47" t="s">
        <v>442</v>
      </c>
    </row>
    <row r="78" spans="1:49" x14ac:dyDescent="0.25">
      <c r="B78" s="2" t="s">
        <v>452</v>
      </c>
      <c r="C78" s="2" t="s">
        <v>453</v>
      </c>
      <c r="D78" s="2" t="s">
        <v>349</v>
      </c>
      <c r="E78" s="2" t="s">
        <v>454</v>
      </c>
      <c r="F78" s="2" t="s">
        <v>455</v>
      </c>
      <c r="G78" s="23" t="s">
        <v>509</v>
      </c>
      <c r="H78" s="23" t="s">
        <v>509</v>
      </c>
      <c r="I78" s="19" t="s">
        <v>190</v>
      </c>
      <c r="J78" s="23" t="s">
        <v>509</v>
      </c>
      <c r="M78" s="8" t="s">
        <v>452</v>
      </c>
      <c r="N78" s="8" t="s">
        <v>453</v>
      </c>
      <c r="O78" s="8" t="s">
        <v>349</v>
      </c>
      <c r="P78" s="8" t="s">
        <v>454</v>
      </c>
      <c r="Q78" s="8" t="s">
        <v>455</v>
      </c>
      <c r="R78" s="8" t="s">
        <v>145</v>
      </c>
      <c r="S78" s="34" t="str">
        <f t="shared" si="9"/>
        <v>202511</v>
      </c>
      <c r="U78" s="34" t="s">
        <v>442</v>
      </c>
      <c r="V78" s="34" t="s">
        <v>442</v>
      </c>
      <c r="W78" s="34" t="s">
        <v>139</v>
      </c>
      <c r="X78" s="34" t="s">
        <v>442</v>
      </c>
      <c r="Y78" s="99"/>
      <c r="AA78" s="8" t="s">
        <v>452</v>
      </c>
      <c r="AB78" s="8" t="s">
        <v>453</v>
      </c>
      <c r="AC78" s="8" t="s">
        <v>349</v>
      </c>
      <c r="AD78" s="8" t="s">
        <v>454</v>
      </c>
      <c r="AE78" s="8" t="s">
        <v>455</v>
      </c>
      <c r="AF78" s="8" t="s">
        <v>145</v>
      </c>
      <c r="AG78" s="34" t="str">
        <f t="shared" si="10"/>
        <v>202511</v>
      </c>
      <c r="AH78" s="47" t="s">
        <v>442</v>
      </c>
      <c r="AI78" s="47" t="s">
        <v>442</v>
      </c>
      <c r="AJ78" s="34" t="s">
        <v>139</v>
      </c>
      <c r="AK78" s="47" t="s">
        <v>442</v>
      </c>
      <c r="AM78" s="8" t="s">
        <v>452</v>
      </c>
      <c r="AN78" s="8" t="s">
        <v>453</v>
      </c>
      <c r="AO78" s="8" t="s">
        <v>349</v>
      </c>
      <c r="AP78" s="8" t="s">
        <v>454</v>
      </c>
      <c r="AQ78" s="8" t="s">
        <v>455</v>
      </c>
      <c r="AR78" s="34" t="str">
        <f t="shared" si="11"/>
        <v>202511</v>
      </c>
      <c r="AS78" s="47" t="s">
        <v>442</v>
      </c>
      <c r="AT78" s="47" t="s">
        <v>442</v>
      </c>
      <c r="AU78" s="34" t="s">
        <v>139</v>
      </c>
      <c r="AV78" s="47" t="s">
        <v>442</v>
      </c>
    </row>
    <row r="79" spans="1:49" x14ac:dyDescent="0.25">
      <c r="B79" s="2" t="s">
        <v>456</v>
      </c>
      <c r="C79" s="2" t="s">
        <v>457</v>
      </c>
      <c r="D79" s="2" t="s">
        <v>425</v>
      </c>
      <c r="E79" s="2" t="s">
        <v>458</v>
      </c>
      <c r="F79" s="2" t="s">
        <v>459</v>
      </c>
      <c r="G79" s="23" t="s">
        <v>509</v>
      </c>
      <c r="H79" s="23" t="s">
        <v>509</v>
      </c>
      <c r="I79" s="19" t="s">
        <v>190</v>
      </c>
      <c r="J79" s="23" t="s">
        <v>509</v>
      </c>
      <c r="M79" s="8" t="s">
        <v>456</v>
      </c>
      <c r="N79" s="8" t="s">
        <v>457</v>
      </c>
      <c r="O79" s="8" t="s">
        <v>425</v>
      </c>
      <c r="P79" s="8" t="s">
        <v>458</v>
      </c>
      <c r="Q79" s="8" t="s">
        <v>459</v>
      </c>
      <c r="R79" s="8" t="s">
        <v>145</v>
      </c>
      <c r="S79" s="34" t="str">
        <f t="shared" si="9"/>
        <v>202511</v>
      </c>
      <c r="U79" s="34" t="s">
        <v>442</v>
      </c>
      <c r="V79" s="34" t="s">
        <v>442</v>
      </c>
      <c r="W79" s="34" t="s">
        <v>139</v>
      </c>
      <c r="X79" s="34" t="s">
        <v>442</v>
      </c>
      <c r="Y79" s="99"/>
      <c r="AA79" s="8" t="s">
        <v>456</v>
      </c>
      <c r="AB79" s="8" t="s">
        <v>457</v>
      </c>
      <c r="AC79" s="8" t="s">
        <v>425</v>
      </c>
      <c r="AD79" s="8" t="s">
        <v>458</v>
      </c>
      <c r="AE79" s="8" t="s">
        <v>459</v>
      </c>
      <c r="AF79" s="8" t="s">
        <v>145</v>
      </c>
      <c r="AG79" s="34" t="str">
        <f t="shared" si="10"/>
        <v>202511</v>
      </c>
      <c r="AH79" s="47" t="s">
        <v>442</v>
      </c>
      <c r="AI79" s="47" t="s">
        <v>442</v>
      </c>
      <c r="AJ79" s="34" t="s">
        <v>139</v>
      </c>
      <c r="AK79" s="47" t="s">
        <v>442</v>
      </c>
      <c r="AM79" s="8" t="s">
        <v>456</v>
      </c>
      <c r="AN79" s="8" t="s">
        <v>457</v>
      </c>
      <c r="AO79" s="8" t="s">
        <v>425</v>
      </c>
      <c r="AP79" s="8" t="s">
        <v>458</v>
      </c>
      <c r="AQ79" s="8" t="s">
        <v>459</v>
      </c>
      <c r="AR79" s="34" t="str">
        <f t="shared" si="11"/>
        <v>202511</v>
      </c>
      <c r="AS79" s="47" t="s">
        <v>442</v>
      </c>
      <c r="AT79" s="47" t="s">
        <v>442</v>
      </c>
      <c r="AU79" s="34" t="s">
        <v>139</v>
      </c>
      <c r="AV79" s="47" t="s">
        <v>442</v>
      </c>
    </row>
    <row r="80" spans="1:49" x14ac:dyDescent="0.25">
      <c r="B80" s="2" t="s">
        <v>460</v>
      </c>
      <c r="C80" s="2" t="s">
        <v>461</v>
      </c>
      <c r="D80" s="2" t="s">
        <v>425</v>
      </c>
      <c r="E80" s="2" t="s">
        <v>462</v>
      </c>
      <c r="F80" s="2" t="s">
        <v>463</v>
      </c>
      <c r="G80" s="23" t="s">
        <v>509</v>
      </c>
      <c r="H80" s="23" t="s">
        <v>509</v>
      </c>
      <c r="I80" s="19" t="s">
        <v>190</v>
      </c>
      <c r="J80" s="23" t="s">
        <v>509</v>
      </c>
      <c r="M80" s="8" t="s">
        <v>460</v>
      </c>
      <c r="N80" s="8" t="s">
        <v>461</v>
      </c>
      <c r="O80" s="8" t="s">
        <v>425</v>
      </c>
      <c r="P80" s="8" t="s">
        <v>462</v>
      </c>
      <c r="Q80" s="8" t="s">
        <v>463</v>
      </c>
      <c r="R80" s="8" t="s">
        <v>145</v>
      </c>
      <c r="S80" s="34" t="str">
        <f t="shared" si="9"/>
        <v>202511</v>
      </c>
      <c r="U80" s="34" t="s">
        <v>442</v>
      </c>
      <c r="V80" s="34" t="s">
        <v>442</v>
      </c>
      <c r="W80" s="34" t="s">
        <v>139</v>
      </c>
      <c r="X80" s="34" t="s">
        <v>442</v>
      </c>
      <c r="Y80" s="99"/>
      <c r="AA80" s="8" t="s">
        <v>460</v>
      </c>
      <c r="AB80" s="8" t="s">
        <v>461</v>
      </c>
      <c r="AC80" s="8" t="s">
        <v>425</v>
      </c>
      <c r="AD80" s="8" t="s">
        <v>462</v>
      </c>
      <c r="AE80" s="8" t="s">
        <v>463</v>
      </c>
      <c r="AF80" s="8" t="s">
        <v>145</v>
      </c>
      <c r="AG80" s="34" t="str">
        <f t="shared" si="10"/>
        <v>202511</v>
      </c>
      <c r="AH80" s="47" t="s">
        <v>442</v>
      </c>
      <c r="AI80" s="47" t="s">
        <v>442</v>
      </c>
      <c r="AJ80" s="34" t="s">
        <v>139</v>
      </c>
      <c r="AK80" s="47" t="s">
        <v>442</v>
      </c>
      <c r="AM80" s="8" t="s">
        <v>460</v>
      </c>
      <c r="AN80" s="8" t="s">
        <v>461</v>
      </c>
      <c r="AO80" s="8" t="s">
        <v>425</v>
      </c>
      <c r="AP80" s="8" t="s">
        <v>462</v>
      </c>
      <c r="AQ80" s="8" t="s">
        <v>463</v>
      </c>
      <c r="AR80" s="34" t="str">
        <f t="shared" si="11"/>
        <v>202511</v>
      </c>
      <c r="AS80" s="47" t="s">
        <v>442</v>
      </c>
      <c r="AT80" s="47" t="s">
        <v>442</v>
      </c>
      <c r="AU80" s="34" t="s">
        <v>139</v>
      </c>
      <c r="AV80" s="47" t="s">
        <v>442</v>
      </c>
    </row>
    <row r="81" spans="2:48" x14ac:dyDescent="0.25">
      <c r="B81" s="2" t="s">
        <v>460</v>
      </c>
      <c r="C81" s="2" t="s">
        <v>464</v>
      </c>
      <c r="D81" s="2" t="s">
        <v>209</v>
      </c>
      <c r="E81" s="2" t="s">
        <v>465</v>
      </c>
      <c r="F81" s="2" t="s">
        <v>466</v>
      </c>
      <c r="G81" s="23" t="s">
        <v>509</v>
      </c>
      <c r="H81" s="23" t="s">
        <v>509</v>
      </c>
      <c r="I81" s="19" t="s">
        <v>190</v>
      </c>
      <c r="J81" s="23" t="s">
        <v>509</v>
      </c>
      <c r="M81" s="8" t="s">
        <v>460</v>
      </c>
      <c r="N81" s="8" t="s">
        <v>464</v>
      </c>
      <c r="O81" s="8" t="s">
        <v>209</v>
      </c>
      <c r="P81" s="8" t="s">
        <v>465</v>
      </c>
      <c r="Q81" s="8" t="s">
        <v>466</v>
      </c>
      <c r="R81" s="8" t="s">
        <v>145</v>
      </c>
      <c r="S81" s="34" t="str">
        <f t="shared" si="9"/>
        <v>202511</v>
      </c>
      <c r="U81" s="34" t="s">
        <v>442</v>
      </c>
      <c r="V81" s="34" t="s">
        <v>442</v>
      </c>
      <c r="W81" s="34" t="s">
        <v>139</v>
      </c>
      <c r="X81" s="34" t="s">
        <v>442</v>
      </c>
      <c r="Y81" s="99"/>
      <c r="AA81" s="8" t="s">
        <v>460</v>
      </c>
      <c r="AB81" s="8" t="s">
        <v>464</v>
      </c>
      <c r="AC81" s="8" t="s">
        <v>209</v>
      </c>
      <c r="AD81" s="8" t="s">
        <v>465</v>
      </c>
      <c r="AE81" s="8" t="s">
        <v>466</v>
      </c>
      <c r="AF81" s="8" t="s">
        <v>145</v>
      </c>
      <c r="AG81" s="34" t="str">
        <f t="shared" si="10"/>
        <v>202511</v>
      </c>
      <c r="AH81" s="47" t="s">
        <v>442</v>
      </c>
      <c r="AI81" s="47" t="s">
        <v>442</v>
      </c>
      <c r="AJ81" s="34" t="s">
        <v>139</v>
      </c>
      <c r="AK81" s="47" t="s">
        <v>442</v>
      </c>
      <c r="AM81" s="8" t="s">
        <v>460</v>
      </c>
      <c r="AN81" s="8" t="s">
        <v>464</v>
      </c>
      <c r="AO81" s="8" t="s">
        <v>209</v>
      </c>
      <c r="AP81" s="8" t="s">
        <v>465</v>
      </c>
      <c r="AQ81" s="8" t="s">
        <v>466</v>
      </c>
      <c r="AR81" s="34" t="str">
        <f t="shared" si="11"/>
        <v>202511</v>
      </c>
      <c r="AS81" s="47" t="s">
        <v>442</v>
      </c>
      <c r="AT81" s="47" t="s">
        <v>442</v>
      </c>
      <c r="AU81" s="34" t="s">
        <v>139</v>
      </c>
      <c r="AV81" s="47" t="s">
        <v>442</v>
      </c>
    </row>
    <row r="82" spans="2:48" x14ac:dyDescent="0.25">
      <c r="B82" s="2" t="s">
        <v>467</v>
      </c>
      <c r="C82" s="2" t="s">
        <v>468</v>
      </c>
      <c r="D82" s="2" t="s">
        <v>212</v>
      </c>
      <c r="E82" s="2" t="s">
        <v>469</v>
      </c>
      <c r="F82" s="2" t="s">
        <v>470</v>
      </c>
      <c r="G82" s="23" t="s">
        <v>509</v>
      </c>
      <c r="H82" s="23" t="s">
        <v>509</v>
      </c>
      <c r="I82" s="19" t="s">
        <v>190</v>
      </c>
      <c r="J82" s="23" t="s">
        <v>509</v>
      </c>
      <c r="M82" s="8" t="s">
        <v>467</v>
      </c>
      <c r="N82" s="8" t="s">
        <v>468</v>
      </c>
      <c r="O82" s="8" t="s">
        <v>212</v>
      </c>
      <c r="P82" s="8" t="s">
        <v>469</v>
      </c>
      <c r="Q82" s="8" t="s">
        <v>470</v>
      </c>
      <c r="R82" s="8" t="s">
        <v>145</v>
      </c>
      <c r="S82" s="34" t="str">
        <f t="shared" si="9"/>
        <v>202511</v>
      </c>
      <c r="U82" s="34" t="s">
        <v>442</v>
      </c>
      <c r="V82" s="34" t="s">
        <v>442</v>
      </c>
      <c r="W82" s="34" t="s">
        <v>139</v>
      </c>
      <c r="X82" s="34" t="s">
        <v>442</v>
      </c>
      <c r="Y82" s="99"/>
      <c r="AA82" s="8" t="s">
        <v>467</v>
      </c>
      <c r="AB82" s="8" t="s">
        <v>468</v>
      </c>
      <c r="AC82" s="8" t="s">
        <v>212</v>
      </c>
      <c r="AD82" s="8" t="s">
        <v>469</v>
      </c>
      <c r="AE82" s="8" t="s">
        <v>470</v>
      </c>
      <c r="AF82" s="8" t="s">
        <v>145</v>
      </c>
      <c r="AG82" s="34" t="str">
        <f t="shared" si="10"/>
        <v>202511</v>
      </c>
      <c r="AH82" s="47" t="s">
        <v>442</v>
      </c>
      <c r="AI82" s="47" t="s">
        <v>442</v>
      </c>
      <c r="AJ82" s="34" t="s">
        <v>139</v>
      </c>
      <c r="AK82" s="47" t="s">
        <v>442</v>
      </c>
      <c r="AM82" s="8" t="s">
        <v>467</v>
      </c>
      <c r="AN82" s="8" t="s">
        <v>468</v>
      </c>
      <c r="AO82" s="8" t="s">
        <v>212</v>
      </c>
      <c r="AP82" s="8" t="s">
        <v>469</v>
      </c>
      <c r="AQ82" s="8" t="s">
        <v>470</v>
      </c>
      <c r="AR82" s="34" t="str">
        <f t="shared" si="11"/>
        <v>202511</v>
      </c>
      <c r="AS82" s="47" t="s">
        <v>442</v>
      </c>
      <c r="AT82" s="47" t="s">
        <v>442</v>
      </c>
      <c r="AU82" s="34" t="s">
        <v>139</v>
      </c>
      <c r="AV82" s="47" t="s">
        <v>442</v>
      </c>
    </row>
    <row r="83" spans="2:48" x14ac:dyDescent="0.25">
      <c r="B83" s="19" t="s">
        <v>472</v>
      </c>
      <c r="C83" s="19" t="s">
        <v>473</v>
      </c>
      <c r="D83" s="19" t="s">
        <v>212</v>
      </c>
      <c r="E83" s="19" t="s">
        <v>474</v>
      </c>
      <c r="F83" s="19" t="s">
        <v>475</v>
      </c>
      <c r="G83" s="23" t="s">
        <v>509</v>
      </c>
      <c r="H83" s="23" t="s">
        <v>509</v>
      </c>
      <c r="I83" s="19" t="s">
        <v>190</v>
      </c>
      <c r="J83" s="23" t="s">
        <v>509</v>
      </c>
      <c r="M83" s="8" t="s">
        <v>472</v>
      </c>
      <c r="N83" s="8" t="s">
        <v>473</v>
      </c>
      <c r="O83" s="8" t="s">
        <v>212</v>
      </c>
      <c r="P83" s="8" t="s">
        <v>474</v>
      </c>
      <c r="Q83" s="8" t="s">
        <v>475</v>
      </c>
      <c r="R83" s="8" t="s">
        <v>145</v>
      </c>
      <c r="S83" s="34" t="str">
        <f t="shared" si="9"/>
        <v>202511</v>
      </c>
      <c r="U83" s="34" t="s">
        <v>476</v>
      </c>
      <c r="V83" s="34" t="s">
        <v>476</v>
      </c>
      <c r="W83" s="34" t="s">
        <v>190</v>
      </c>
      <c r="X83" s="34" t="s">
        <v>476</v>
      </c>
      <c r="Y83" s="99"/>
      <c r="AA83" s="8" t="s">
        <v>472</v>
      </c>
      <c r="AB83" s="8" t="s">
        <v>473</v>
      </c>
      <c r="AC83" s="8" t="s">
        <v>212</v>
      </c>
      <c r="AD83" s="8" t="s">
        <v>474</v>
      </c>
      <c r="AE83" s="8" t="s">
        <v>475</v>
      </c>
      <c r="AF83" s="8" t="s">
        <v>145</v>
      </c>
      <c r="AG83" s="34" t="str">
        <f t="shared" si="10"/>
        <v>202511</v>
      </c>
      <c r="AH83" s="47" t="s">
        <v>476</v>
      </c>
      <c r="AI83" s="47" t="s">
        <v>476</v>
      </c>
      <c r="AJ83" s="34" t="s">
        <v>190</v>
      </c>
      <c r="AK83" s="47" t="s">
        <v>476</v>
      </c>
      <c r="AM83" s="8" t="s">
        <v>472</v>
      </c>
      <c r="AN83" s="8" t="s">
        <v>473</v>
      </c>
      <c r="AO83" s="8" t="s">
        <v>212</v>
      </c>
      <c r="AP83" s="8" t="s">
        <v>474</v>
      </c>
      <c r="AQ83" s="8" t="s">
        <v>475</v>
      </c>
      <c r="AR83" s="34" t="str">
        <f t="shared" si="11"/>
        <v>202511</v>
      </c>
      <c r="AS83" s="47" t="s">
        <v>476</v>
      </c>
      <c r="AT83" s="47" t="s">
        <v>476</v>
      </c>
      <c r="AU83" s="34" t="s">
        <v>190</v>
      </c>
      <c r="AV83" s="47" t="s">
        <v>476</v>
      </c>
    </row>
    <row r="84" spans="2:48" x14ac:dyDescent="0.25">
      <c r="B84" s="19" t="s">
        <v>477</v>
      </c>
      <c r="C84" s="19" t="s">
        <v>478</v>
      </c>
      <c r="D84" s="19" t="s">
        <v>212</v>
      </c>
      <c r="E84" s="19" t="s">
        <v>479</v>
      </c>
      <c r="F84" s="19" t="s">
        <v>475</v>
      </c>
      <c r="G84" s="23" t="s">
        <v>509</v>
      </c>
      <c r="H84" s="23" t="s">
        <v>509</v>
      </c>
      <c r="I84" s="19" t="s">
        <v>190</v>
      </c>
      <c r="J84" s="23" t="s">
        <v>509</v>
      </c>
      <c r="M84" s="8" t="s">
        <v>477</v>
      </c>
      <c r="N84" s="8" t="s">
        <v>478</v>
      </c>
      <c r="O84" s="8" t="s">
        <v>212</v>
      </c>
      <c r="P84" s="8" t="s">
        <v>479</v>
      </c>
      <c r="Q84" s="8" t="s">
        <v>475</v>
      </c>
      <c r="R84" s="8" t="s">
        <v>145</v>
      </c>
      <c r="S84" s="34" t="str">
        <f t="shared" si="9"/>
        <v>202511</v>
      </c>
      <c r="U84" s="34" t="s">
        <v>476</v>
      </c>
      <c r="V84" s="34" t="s">
        <v>476</v>
      </c>
      <c r="W84" s="34" t="s">
        <v>190</v>
      </c>
      <c r="X84" s="34" t="s">
        <v>476</v>
      </c>
      <c r="Y84" s="99"/>
      <c r="AA84" s="8" t="s">
        <v>477</v>
      </c>
      <c r="AB84" s="8" t="s">
        <v>478</v>
      </c>
      <c r="AC84" s="8" t="s">
        <v>212</v>
      </c>
      <c r="AD84" s="8" t="s">
        <v>479</v>
      </c>
      <c r="AE84" s="8" t="s">
        <v>475</v>
      </c>
      <c r="AF84" s="8" t="s">
        <v>145</v>
      </c>
      <c r="AG84" s="34" t="str">
        <f t="shared" si="10"/>
        <v>202511</v>
      </c>
      <c r="AH84" s="47" t="s">
        <v>476</v>
      </c>
      <c r="AI84" s="47" t="s">
        <v>476</v>
      </c>
      <c r="AJ84" s="34" t="s">
        <v>190</v>
      </c>
      <c r="AK84" s="47" t="s">
        <v>476</v>
      </c>
      <c r="AM84" s="8" t="s">
        <v>477</v>
      </c>
      <c r="AN84" s="8" t="s">
        <v>478</v>
      </c>
      <c r="AO84" s="8" t="s">
        <v>212</v>
      </c>
      <c r="AP84" s="8" t="s">
        <v>479</v>
      </c>
      <c r="AQ84" s="8" t="s">
        <v>475</v>
      </c>
      <c r="AR84" s="34" t="str">
        <f t="shared" si="11"/>
        <v>202511</v>
      </c>
      <c r="AS84" s="47" t="s">
        <v>476</v>
      </c>
      <c r="AT84" s="47" t="s">
        <v>476</v>
      </c>
      <c r="AU84" s="34" t="s">
        <v>190</v>
      </c>
      <c r="AV84" s="47" t="s">
        <v>476</v>
      </c>
    </row>
    <row r="85" spans="2:48" ht="28.9" customHeight="1" x14ac:dyDescent="0.25">
      <c r="B85" s="7" t="s">
        <v>510</v>
      </c>
      <c r="C85" s="7" t="s">
        <v>511</v>
      </c>
      <c r="D85" s="7" t="s">
        <v>425</v>
      </c>
      <c r="E85" s="7" t="s">
        <v>512</v>
      </c>
      <c r="F85" s="7" t="s">
        <v>212</v>
      </c>
      <c r="G85" s="23" t="s">
        <v>509</v>
      </c>
      <c r="H85" s="23" t="s">
        <v>509</v>
      </c>
      <c r="I85" s="7" t="s">
        <v>190</v>
      </c>
      <c r="J85" s="23" t="s">
        <v>509</v>
      </c>
      <c r="K85" s="23" t="s">
        <v>513</v>
      </c>
      <c r="M85" s="2" t="s">
        <v>480</v>
      </c>
      <c r="N85" s="2" t="s">
        <v>481</v>
      </c>
      <c r="O85" s="2" t="s">
        <v>212</v>
      </c>
      <c r="P85" s="2" t="s">
        <v>482</v>
      </c>
      <c r="Q85" s="2" t="s">
        <v>483</v>
      </c>
      <c r="R85" s="2" t="s">
        <v>145</v>
      </c>
      <c r="S85" s="10" t="s">
        <v>514</v>
      </c>
      <c r="U85" s="10" t="s">
        <v>476</v>
      </c>
      <c r="V85" s="10" t="s">
        <v>476</v>
      </c>
      <c r="W85" s="10" t="s">
        <v>190</v>
      </c>
      <c r="X85" s="25" t="s">
        <v>509</v>
      </c>
      <c r="Y85" s="100" t="s">
        <v>515</v>
      </c>
      <c r="AA85" s="27" t="s">
        <v>480</v>
      </c>
      <c r="AB85" s="27" t="s">
        <v>481</v>
      </c>
      <c r="AC85" s="27" t="s">
        <v>212</v>
      </c>
      <c r="AD85" s="27" t="s">
        <v>482</v>
      </c>
      <c r="AE85" s="27" t="s">
        <v>483</v>
      </c>
      <c r="AF85" s="27" t="s">
        <v>145</v>
      </c>
      <c r="AG85" s="38" t="s">
        <v>514</v>
      </c>
      <c r="AH85" s="38" t="s">
        <v>476</v>
      </c>
      <c r="AI85" s="38" t="s">
        <v>476</v>
      </c>
      <c r="AJ85" s="14" t="s">
        <v>190</v>
      </c>
      <c r="AK85" s="25" t="s">
        <v>509</v>
      </c>
      <c r="AM85" s="27" t="s">
        <v>480</v>
      </c>
      <c r="AN85" s="27" t="s">
        <v>481</v>
      </c>
      <c r="AO85" s="27" t="s">
        <v>212</v>
      </c>
      <c r="AP85" s="27" t="s">
        <v>482</v>
      </c>
      <c r="AQ85" s="27" t="s">
        <v>483</v>
      </c>
      <c r="AR85" s="38" t="str">
        <f t="shared" ref="AR85:AR111" si="12">YEAR(AQ85) &amp; RIGHT("0" &amp; MONTH(AQ85), 2)</f>
        <v>202511</v>
      </c>
      <c r="AS85" s="38" t="s">
        <v>476</v>
      </c>
      <c r="AT85" s="38" t="s">
        <v>476</v>
      </c>
      <c r="AU85" s="14" t="s">
        <v>190</v>
      </c>
      <c r="AV85" s="25" t="s">
        <v>509</v>
      </c>
    </row>
    <row r="86" spans="2:48" ht="30" x14ac:dyDescent="0.25">
      <c r="B86" s="7"/>
      <c r="C86" s="7"/>
      <c r="D86" s="7"/>
      <c r="E86" s="7"/>
      <c r="F86" s="7"/>
      <c r="G86" s="7"/>
      <c r="H86" s="7"/>
      <c r="I86" s="7"/>
      <c r="J86" s="7"/>
      <c r="K86" s="23"/>
      <c r="M86" s="2" t="s">
        <v>480</v>
      </c>
      <c r="N86" s="2" t="s">
        <v>484</v>
      </c>
      <c r="O86" s="2" t="s">
        <v>212</v>
      </c>
      <c r="P86" s="2" t="s">
        <v>485</v>
      </c>
      <c r="Q86" s="2" t="s">
        <v>483</v>
      </c>
      <c r="R86" s="2" t="s">
        <v>145</v>
      </c>
      <c r="S86" s="10" t="s">
        <v>514</v>
      </c>
      <c r="U86" s="10" t="s">
        <v>476</v>
      </c>
      <c r="V86" s="10" t="s">
        <v>476</v>
      </c>
      <c r="W86" s="10" t="s">
        <v>190</v>
      </c>
      <c r="X86" s="25" t="s">
        <v>509</v>
      </c>
      <c r="Y86" s="100"/>
      <c r="AA86" s="27" t="s">
        <v>480</v>
      </c>
      <c r="AB86" s="27" t="s">
        <v>484</v>
      </c>
      <c r="AC86" s="27" t="s">
        <v>212</v>
      </c>
      <c r="AD86" s="27" t="s">
        <v>485</v>
      </c>
      <c r="AE86" s="27" t="s">
        <v>483</v>
      </c>
      <c r="AF86" s="27" t="s">
        <v>145</v>
      </c>
      <c r="AG86" s="38" t="s">
        <v>514</v>
      </c>
      <c r="AH86" s="38" t="s">
        <v>476</v>
      </c>
      <c r="AI86" s="38" t="s">
        <v>476</v>
      </c>
      <c r="AJ86" s="14" t="s">
        <v>190</v>
      </c>
      <c r="AK86" s="25" t="s">
        <v>509</v>
      </c>
      <c r="AM86" s="27" t="s">
        <v>480</v>
      </c>
      <c r="AN86" s="27" t="s">
        <v>484</v>
      </c>
      <c r="AO86" s="27" t="s">
        <v>212</v>
      </c>
      <c r="AP86" s="27" t="s">
        <v>485</v>
      </c>
      <c r="AQ86" s="27" t="s">
        <v>483</v>
      </c>
      <c r="AR86" s="38" t="str">
        <f t="shared" si="12"/>
        <v>202511</v>
      </c>
      <c r="AS86" s="38" t="s">
        <v>476</v>
      </c>
      <c r="AT86" s="38" t="s">
        <v>476</v>
      </c>
      <c r="AU86" s="14" t="s">
        <v>190</v>
      </c>
      <c r="AV86" s="25" t="s">
        <v>509</v>
      </c>
    </row>
    <row r="87" spans="2:48" ht="30" x14ac:dyDescent="0.25">
      <c r="B87" s="7"/>
      <c r="C87" s="7"/>
      <c r="D87" s="7"/>
      <c r="E87" s="7"/>
      <c r="F87" s="7"/>
      <c r="G87" s="7"/>
      <c r="H87" s="7"/>
      <c r="I87" s="7"/>
      <c r="J87" s="7"/>
      <c r="K87" s="23"/>
      <c r="M87" s="2" t="s">
        <v>486</v>
      </c>
      <c r="N87" s="2" t="s">
        <v>487</v>
      </c>
      <c r="O87" s="2" t="s">
        <v>212</v>
      </c>
      <c r="P87" s="2" t="s">
        <v>488</v>
      </c>
      <c r="Q87" s="2" t="s">
        <v>483</v>
      </c>
      <c r="R87" s="2" t="s">
        <v>145</v>
      </c>
      <c r="S87" s="10" t="s">
        <v>514</v>
      </c>
      <c r="U87" s="10" t="s">
        <v>476</v>
      </c>
      <c r="V87" s="10" t="s">
        <v>476</v>
      </c>
      <c r="W87" s="10" t="s">
        <v>190</v>
      </c>
      <c r="X87" s="25" t="s">
        <v>509</v>
      </c>
      <c r="Y87" s="100"/>
      <c r="AA87" s="27" t="s">
        <v>486</v>
      </c>
      <c r="AB87" s="27" t="s">
        <v>487</v>
      </c>
      <c r="AC87" s="27" t="s">
        <v>212</v>
      </c>
      <c r="AD87" s="27" t="s">
        <v>488</v>
      </c>
      <c r="AE87" s="27" t="s">
        <v>483</v>
      </c>
      <c r="AF87" s="27" t="s">
        <v>145</v>
      </c>
      <c r="AG87" s="38" t="s">
        <v>514</v>
      </c>
      <c r="AH87" s="38" t="s">
        <v>476</v>
      </c>
      <c r="AI87" s="38" t="s">
        <v>476</v>
      </c>
      <c r="AJ87" s="14" t="s">
        <v>190</v>
      </c>
      <c r="AK87" s="25" t="s">
        <v>509</v>
      </c>
      <c r="AM87" s="27" t="s">
        <v>486</v>
      </c>
      <c r="AN87" s="27" t="s">
        <v>487</v>
      </c>
      <c r="AO87" s="27" t="s">
        <v>212</v>
      </c>
      <c r="AP87" s="27" t="s">
        <v>488</v>
      </c>
      <c r="AQ87" s="27" t="s">
        <v>483</v>
      </c>
      <c r="AR87" s="38" t="str">
        <f t="shared" si="12"/>
        <v>202511</v>
      </c>
      <c r="AS87" s="38" t="s">
        <v>476</v>
      </c>
      <c r="AT87" s="38" t="s">
        <v>476</v>
      </c>
      <c r="AU87" s="14" t="s">
        <v>190</v>
      </c>
      <c r="AV87" s="25" t="s">
        <v>509</v>
      </c>
    </row>
    <row r="88" spans="2:48" ht="30" x14ac:dyDescent="0.25">
      <c r="B88" s="7"/>
      <c r="C88" s="7"/>
      <c r="D88" s="7"/>
      <c r="E88" s="7"/>
      <c r="F88" s="7"/>
      <c r="G88" s="7"/>
      <c r="H88" s="7"/>
      <c r="I88" s="7"/>
      <c r="J88" s="7"/>
      <c r="K88" s="23"/>
      <c r="M88" s="2" t="s">
        <v>486</v>
      </c>
      <c r="N88" s="2" t="s">
        <v>489</v>
      </c>
      <c r="O88" s="2" t="s">
        <v>212</v>
      </c>
      <c r="P88" s="2" t="s">
        <v>490</v>
      </c>
      <c r="Q88" s="2" t="s">
        <v>483</v>
      </c>
      <c r="R88" s="2" t="s">
        <v>145</v>
      </c>
      <c r="S88" s="10" t="s">
        <v>514</v>
      </c>
      <c r="U88" s="10" t="s">
        <v>476</v>
      </c>
      <c r="V88" s="10" t="s">
        <v>476</v>
      </c>
      <c r="W88" s="10" t="s">
        <v>190</v>
      </c>
      <c r="X88" s="25" t="s">
        <v>509</v>
      </c>
      <c r="Y88" s="100"/>
      <c r="AA88" s="27" t="s">
        <v>486</v>
      </c>
      <c r="AB88" s="27" t="s">
        <v>489</v>
      </c>
      <c r="AC88" s="27" t="s">
        <v>212</v>
      </c>
      <c r="AD88" s="27" t="s">
        <v>490</v>
      </c>
      <c r="AE88" s="27" t="s">
        <v>483</v>
      </c>
      <c r="AF88" s="27" t="s">
        <v>145</v>
      </c>
      <c r="AG88" s="38" t="s">
        <v>514</v>
      </c>
      <c r="AH88" s="38" t="s">
        <v>476</v>
      </c>
      <c r="AI88" s="38" t="s">
        <v>476</v>
      </c>
      <c r="AJ88" s="14" t="s">
        <v>190</v>
      </c>
      <c r="AK88" s="25" t="s">
        <v>509</v>
      </c>
      <c r="AM88" s="27" t="s">
        <v>486</v>
      </c>
      <c r="AN88" s="27" t="s">
        <v>489</v>
      </c>
      <c r="AO88" s="27" t="s">
        <v>212</v>
      </c>
      <c r="AP88" s="27" t="s">
        <v>490</v>
      </c>
      <c r="AQ88" s="27" t="s">
        <v>483</v>
      </c>
      <c r="AR88" s="38" t="str">
        <f t="shared" si="12"/>
        <v>202511</v>
      </c>
      <c r="AS88" s="38" t="s">
        <v>476</v>
      </c>
      <c r="AT88" s="38" t="s">
        <v>476</v>
      </c>
      <c r="AU88" s="14" t="s">
        <v>190</v>
      </c>
      <c r="AV88" s="25" t="s">
        <v>509</v>
      </c>
    </row>
    <row r="89" spans="2:48" ht="30" x14ac:dyDescent="0.25">
      <c r="B89" s="7"/>
      <c r="C89" s="7"/>
      <c r="D89" s="7"/>
      <c r="E89" s="7"/>
      <c r="F89" s="7"/>
      <c r="G89" s="7"/>
      <c r="H89" s="7"/>
      <c r="I89" s="7"/>
      <c r="J89" s="7"/>
      <c r="K89" s="23"/>
      <c r="M89" s="2" t="s">
        <v>480</v>
      </c>
      <c r="N89" s="2" t="s">
        <v>491</v>
      </c>
      <c r="O89" s="2" t="s">
        <v>212</v>
      </c>
      <c r="P89" s="2" t="s">
        <v>492</v>
      </c>
      <c r="Q89" s="2" t="s">
        <v>483</v>
      </c>
      <c r="R89" s="2" t="s">
        <v>145</v>
      </c>
      <c r="S89" s="10" t="s">
        <v>514</v>
      </c>
      <c r="U89" s="10" t="s">
        <v>476</v>
      </c>
      <c r="V89" s="10" t="s">
        <v>476</v>
      </c>
      <c r="W89" s="10" t="s">
        <v>190</v>
      </c>
      <c r="X89" s="25" t="s">
        <v>509</v>
      </c>
      <c r="Y89" s="100"/>
      <c r="AA89" s="27" t="s">
        <v>480</v>
      </c>
      <c r="AB89" s="27" t="s">
        <v>491</v>
      </c>
      <c r="AC89" s="27" t="s">
        <v>212</v>
      </c>
      <c r="AD89" s="27" t="s">
        <v>492</v>
      </c>
      <c r="AE89" s="27" t="s">
        <v>483</v>
      </c>
      <c r="AF89" s="27" t="s">
        <v>145</v>
      </c>
      <c r="AG89" s="38" t="s">
        <v>514</v>
      </c>
      <c r="AH89" s="38" t="s">
        <v>476</v>
      </c>
      <c r="AI89" s="38" t="s">
        <v>476</v>
      </c>
      <c r="AJ89" s="14" t="s">
        <v>190</v>
      </c>
      <c r="AK89" s="25" t="s">
        <v>509</v>
      </c>
      <c r="AM89" s="27" t="s">
        <v>480</v>
      </c>
      <c r="AN89" s="27" t="s">
        <v>491</v>
      </c>
      <c r="AO89" s="27" t="s">
        <v>212</v>
      </c>
      <c r="AP89" s="27" t="s">
        <v>492</v>
      </c>
      <c r="AQ89" s="27" t="s">
        <v>483</v>
      </c>
      <c r="AR89" s="38" t="str">
        <f t="shared" si="12"/>
        <v>202511</v>
      </c>
      <c r="AS89" s="38" t="s">
        <v>476</v>
      </c>
      <c r="AT89" s="38" t="s">
        <v>476</v>
      </c>
      <c r="AU89" s="14" t="s">
        <v>190</v>
      </c>
      <c r="AV89" s="25" t="s">
        <v>509</v>
      </c>
    </row>
    <row r="90" spans="2:48" ht="30" x14ac:dyDescent="0.25">
      <c r="B90" s="7"/>
      <c r="C90" s="7"/>
      <c r="D90" s="7"/>
      <c r="E90" s="7"/>
      <c r="F90" s="7"/>
      <c r="G90" s="7"/>
      <c r="H90" s="7"/>
      <c r="I90" s="7"/>
      <c r="J90" s="7"/>
      <c r="K90" s="23"/>
      <c r="M90" s="2" t="s">
        <v>486</v>
      </c>
      <c r="N90" s="2" t="s">
        <v>493</v>
      </c>
      <c r="O90" s="2" t="s">
        <v>212</v>
      </c>
      <c r="P90" s="2" t="s">
        <v>494</v>
      </c>
      <c r="Q90" s="2" t="s">
        <v>483</v>
      </c>
      <c r="R90" s="2" t="s">
        <v>145</v>
      </c>
      <c r="S90" s="10" t="s">
        <v>514</v>
      </c>
      <c r="U90" s="10" t="s">
        <v>476</v>
      </c>
      <c r="V90" s="10" t="s">
        <v>476</v>
      </c>
      <c r="W90" s="10" t="s">
        <v>190</v>
      </c>
      <c r="X90" s="25" t="s">
        <v>509</v>
      </c>
      <c r="Y90" s="100"/>
      <c r="AA90" s="27" t="s">
        <v>486</v>
      </c>
      <c r="AB90" s="27" t="s">
        <v>493</v>
      </c>
      <c r="AC90" s="27" t="s">
        <v>212</v>
      </c>
      <c r="AD90" s="27" t="s">
        <v>494</v>
      </c>
      <c r="AE90" s="27" t="s">
        <v>483</v>
      </c>
      <c r="AF90" s="27" t="s">
        <v>145</v>
      </c>
      <c r="AG90" s="38" t="s">
        <v>514</v>
      </c>
      <c r="AH90" s="38" t="s">
        <v>476</v>
      </c>
      <c r="AI90" s="38" t="s">
        <v>476</v>
      </c>
      <c r="AJ90" s="14" t="s">
        <v>190</v>
      </c>
      <c r="AK90" s="25" t="s">
        <v>509</v>
      </c>
      <c r="AM90" s="27" t="s">
        <v>486</v>
      </c>
      <c r="AN90" s="27" t="s">
        <v>493</v>
      </c>
      <c r="AO90" s="27" t="s">
        <v>212</v>
      </c>
      <c r="AP90" s="27" t="s">
        <v>494</v>
      </c>
      <c r="AQ90" s="27" t="s">
        <v>483</v>
      </c>
      <c r="AR90" s="38" t="str">
        <f t="shared" si="12"/>
        <v>202511</v>
      </c>
      <c r="AS90" s="38" t="s">
        <v>476</v>
      </c>
      <c r="AT90" s="38" t="s">
        <v>476</v>
      </c>
      <c r="AU90" s="14" t="s">
        <v>190</v>
      </c>
      <c r="AV90" s="25" t="s">
        <v>509</v>
      </c>
    </row>
    <row r="91" spans="2:48" ht="30" x14ac:dyDescent="0.25">
      <c r="B91" s="7"/>
      <c r="C91" s="7"/>
      <c r="D91" s="7"/>
      <c r="E91" s="7"/>
      <c r="F91" s="7"/>
      <c r="G91" s="7"/>
      <c r="H91" s="7"/>
      <c r="I91" s="7"/>
      <c r="J91" s="7"/>
      <c r="K91" s="23"/>
      <c r="M91" s="2" t="s">
        <v>486</v>
      </c>
      <c r="N91" s="2" t="s">
        <v>495</v>
      </c>
      <c r="O91" s="2" t="s">
        <v>212</v>
      </c>
      <c r="P91" s="2" t="s">
        <v>496</v>
      </c>
      <c r="Q91" s="2" t="s">
        <v>483</v>
      </c>
      <c r="R91" s="2" t="s">
        <v>145</v>
      </c>
      <c r="S91" s="10" t="s">
        <v>514</v>
      </c>
      <c r="U91" s="10" t="s">
        <v>476</v>
      </c>
      <c r="V91" s="10" t="s">
        <v>476</v>
      </c>
      <c r="W91" s="10" t="s">
        <v>190</v>
      </c>
      <c r="X91" s="25" t="s">
        <v>509</v>
      </c>
      <c r="Y91" s="100"/>
      <c r="AA91" s="27" t="s">
        <v>486</v>
      </c>
      <c r="AB91" s="27" t="s">
        <v>495</v>
      </c>
      <c r="AC91" s="27" t="s">
        <v>212</v>
      </c>
      <c r="AD91" s="27" t="s">
        <v>496</v>
      </c>
      <c r="AE91" s="27" t="s">
        <v>483</v>
      </c>
      <c r="AF91" s="27" t="s">
        <v>145</v>
      </c>
      <c r="AG91" s="38" t="s">
        <v>514</v>
      </c>
      <c r="AH91" s="38" t="s">
        <v>476</v>
      </c>
      <c r="AI91" s="38" t="s">
        <v>476</v>
      </c>
      <c r="AJ91" s="14" t="s">
        <v>190</v>
      </c>
      <c r="AK91" s="25" t="s">
        <v>509</v>
      </c>
      <c r="AM91" s="27" t="s">
        <v>486</v>
      </c>
      <c r="AN91" s="27" t="s">
        <v>495</v>
      </c>
      <c r="AO91" s="27" t="s">
        <v>212</v>
      </c>
      <c r="AP91" s="27" t="s">
        <v>496</v>
      </c>
      <c r="AQ91" s="27" t="s">
        <v>483</v>
      </c>
      <c r="AR91" s="38" t="str">
        <f t="shared" si="12"/>
        <v>202511</v>
      </c>
      <c r="AS91" s="38" t="s">
        <v>476</v>
      </c>
      <c r="AT91" s="38" t="s">
        <v>476</v>
      </c>
      <c r="AU91" s="14" t="s">
        <v>190</v>
      </c>
      <c r="AV91" s="25" t="s">
        <v>509</v>
      </c>
    </row>
    <row r="92" spans="2:48" ht="30" x14ac:dyDescent="0.25">
      <c r="B92" s="7"/>
      <c r="C92" s="7"/>
      <c r="D92" s="7"/>
      <c r="E92" s="7"/>
      <c r="F92" s="7"/>
      <c r="G92" s="7"/>
      <c r="H92" s="7"/>
      <c r="I92" s="7"/>
      <c r="J92" s="7"/>
      <c r="K92" s="23"/>
      <c r="M92" s="2" t="s">
        <v>480</v>
      </c>
      <c r="N92" s="2" t="s">
        <v>497</v>
      </c>
      <c r="O92" s="2" t="s">
        <v>212</v>
      </c>
      <c r="P92" s="2" t="s">
        <v>498</v>
      </c>
      <c r="Q92" s="2" t="s">
        <v>483</v>
      </c>
      <c r="R92" s="2" t="s">
        <v>145</v>
      </c>
      <c r="S92" s="10" t="s">
        <v>514</v>
      </c>
      <c r="U92" s="10" t="s">
        <v>476</v>
      </c>
      <c r="V92" s="10" t="s">
        <v>476</v>
      </c>
      <c r="W92" s="10" t="s">
        <v>190</v>
      </c>
      <c r="X92" s="25" t="s">
        <v>509</v>
      </c>
      <c r="Y92" s="100"/>
      <c r="AA92" s="27" t="s">
        <v>480</v>
      </c>
      <c r="AB92" s="27" t="s">
        <v>497</v>
      </c>
      <c r="AC92" s="27" t="s">
        <v>212</v>
      </c>
      <c r="AD92" s="27" t="s">
        <v>498</v>
      </c>
      <c r="AE92" s="27" t="s">
        <v>483</v>
      </c>
      <c r="AF92" s="27" t="s">
        <v>145</v>
      </c>
      <c r="AG92" s="38" t="s">
        <v>514</v>
      </c>
      <c r="AH92" s="38" t="s">
        <v>476</v>
      </c>
      <c r="AI92" s="38" t="s">
        <v>476</v>
      </c>
      <c r="AJ92" s="14" t="s">
        <v>190</v>
      </c>
      <c r="AK92" s="25" t="s">
        <v>509</v>
      </c>
      <c r="AM92" s="27" t="s">
        <v>480</v>
      </c>
      <c r="AN92" s="27" t="s">
        <v>497</v>
      </c>
      <c r="AO92" s="27" t="s">
        <v>212</v>
      </c>
      <c r="AP92" s="27" t="s">
        <v>498</v>
      </c>
      <c r="AQ92" s="27" t="s">
        <v>483</v>
      </c>
      <c r="AR92" s="38" t="str">
        <f t="shared" si="12"/>
        <v>202511</v>
      </c>
      <c r="AS92" s="38" t="s">
        <v>476</v>
      </c>
      <c r="AT92" s="38" t="s">
        <v>476</v>
      </c>
      <c r="AU92" s="14" t="s">
        <v>190</v>
      </c>
      <c r="AV92" s="25" t="s">
        <v>509</v>
      </c>
    </row>
    <row r="93" spans="2:48" ht="72" customHeight="1" x14ac:dyDescent="0.25">
      <c r="B93" s="7"/>
      <c r="C93" s="7"/>
      <c r="D93" s="7"/>
      <c r="E93" s="7"/>
      <c r="F93" s="7"/>
      <c r="G93" s="7"/>
      <c r="H93" s="7"/>
      <c r="I93" s="7"/>
      <c r="J93" s="7"/>
      <c r="K93" s="23"/>
      <c r="M93" s="7" t="s">
        <v>408</v>
      </c>
      <c r="N93" s="7" t="s">
        <v>409</v>
      </c>
      <c r="O93" s="7" t="s">
        <v>209</v>
      </c>
      <c r="P93" s="7" t="s">
        <v>508</v>
      </c>
      <c r="Q93" s="7" t="s">
        <v>411</v>
      </c>
      <c r="R93" s="7" t="s">
        <v>145</v>
      </c>
      <c r="S93" s="14" t="str">
        <f t="shared" ref="S93:S111" si="13">YEAR(Q93) &amp; RIGHT("0" &amp; MONTH(Q93), 2)</f>
        <v>202511</v>
      </c>
      <c r="U93" s="25" t="s">
        <v>509</v>
      </c>
      <c r="V93" s="25" t="s">
        <v>509</v>
      </c>
      <c r="W93" s="14" t="s">
        <v>190</v>
      </c>
      <c r="X93" s="25" t="s">
        <v>509</v>
      </c>
      <c r="Y93" s="100" t="s">
        <v>516</v>
      </c>
      <c r="AA93" s="7" t="s">
        <v>408</v>
      </c>
      <c r="AB93" s="7" t="s">
        <v>409</v>
      </c>
      <c r="AC93" s="7" t="s">
        <v>209</v>
      </c>
      <c r="AD93" s="7" t="s">
        <v>508</v>
      </c>
      <c r="AE93" s="7" t="s">
        <v>411</v>
      </c>
      <c r="AF93" s="7" t="s">
        <v>145</v>
      </c>
      <c r="AG93" s="14" t="str">
        <f t="shared" ref="AG93:AG111" si="14">YEAR(AE93) &amp; RIGHT("0" &amp; MONTH(AE93), 2)</f>
        <v>202511</v>
      </c>
      <c r="AH93" s="25" t="s">
        <v>509</v>
      </c>
      <c r="AI93" s="25" t="s">
        <v>509</v>
      </c>
      <c r="AJ93" s="14" t="s">
        <v>190</v>
      </c>
      <c r="AK93" s="25" t="s">
        <v>509</v>
      </c>
      <c r="AM93" s="7" t="s">
        <v>408</v>
      </c>
      <c r="AN93" s="7" t="s">
        <v>409</v>
      </c>
      <c r="AO93" s="7" t="s">
        <v>209</v>
      </c>
      <c r="AP93" s="7" t="s">
        <v>508</v>
      </c>
      <c r="AQ93" s="7" t="s">
        <v>411</v>
      </c>
      <c r="AR93" s="14" t="str">
        <f t="shared" si="12"/>
        <v>202511</v>
      </c>
      <c r="AS93" s="25" t="s">
        <v>509</v>
      </c>
      <c r="AT93" s="25" t="s">
        <v>509</v>
      </c>
      <c r="AU93" s="14" t="s">
        <v>190</v>
      </c>
      <c r="AV93" s="25" t="s">
        <v>509</v>
      </c>
    </row>
    <row r="94" spans="2:48" ht="30" x14ac:dyDescent="0.25">
      <c r="B94" s="7"/>
      <c r="C94" s="7"/>
      <c r="D94" s="7"/>
      <c r="E94" s="7"/>
      <c r="F94" s="7"/>
      <c r="G94" s="7"/>
      <c r="H94" s="7"/>
      <c r="I94" s="7"/>
      <c r="J94" s="7"/>
      <c r="K94" s="23"/>
      <c r="M94" s="7" t="s">
        <v>412</v>
      </c>
      <c r="N94" s="7" t="s">
        <v>413</v>
      </c>
      <c r="O94" s="7" t="s">
        <v>414</v>
      </c>
      <c r="P94" s="7" t="s">
        <v>415</v>
      </c>
      <c r="Q94" s="7" t="s">
        <v>416</v>
      </c>
      <c r="R94" s="7" t="s">
        <v>145</v>
      </c>
      <c r="S94" s="14" t="str">
        <f t="shared" si="13"/>
        <v>202511</v>
      </c>
      <c r="U94" s="25" t="s">
        <v>509</v>
      </c>
      <c r="V94" s="25" t="s">
        <v>509</v>
      </c>
      <c r="W94" s="14" t="s">
        <v>190</v>
      </c>
      <c r="X94" s="25" t="s">
        <v>509</v>
      </c>
      <c r="Y94" s="100"/>
      <c r="AA94" s="7" t="s">
        <v>412</v>
      </c>
      <c r="AB94" s="7" t="s">
        <v>413</v>
      </c>
      <c r="AC94" s="7" t="s">
        <v>414</v>
      </c>
      <c r="AD94" s="7" t="s">
        <v>415</v>
      </c>
      <c r="AE94" s="7" t="s">
        <v>416</v>
      </c>
      <c r="AF94" s="7" t="s">
        <v>145</v>
      </c>
      <c r="AG94" s="14" t="str">
        <f t="shared" si="14"/>
        <v>202511</v>
      </c>
      <c r="AH94" s="25" t="s">
        <v>509</v>
      </c>
      <c r="AI94" s="25" t="s">
        <v>509</v>
      </c>
      <c r="AJ94" s="14" t="s">
        <v>190</v>
      </c>
      <c r="AK94" s="25" t="s">
        <v>509</v>
      </c>
      <c r="AM94" s="7" t="s">
        <v>412</v>
      </c>
      <c r="AN94" s="7" t="s">
        <v>413</v>
      </c>
      <c r="AO94" s="7" t="s">
        <v>414</v>
      </c>
      <c r="AP94" s="7" t="s">
        <v>415</v>
      </c>
      <c r="AQ94" s="7" t="s">
        <v>416</v>
      </c>
      <c r="AR94" s="14" t="str">
        <f t="shared" si="12"/>
        <v>202511</v>
      </c>
      <c r="AS94" s="25" t="s">
        <v>509</v>
      </c>
      <c r="AT94" s="25" t="s">
        <v>509</v>
      </c>
      <c r="AU94" s="14" t="s">
        <v>190</v>
      </c>
      <c r="AV94" s="25" t="s">
        <v>509</v>
      </c>
    </row>
    <row r="95" spans="2:48" ht="30" x14ac:dyDescent="0.25">
      <c r="B95" s="7"/>
      <c r="C95" s="7"/>
      <c r="D95" s="7"/>
      <c r="E95" s="7"/>
      <c r="F95" s="7"/>
      <c r="G95" s="7"/>
      <c r="H95" s="7"/>
      <c r="I95" s="7"/>
      <c r="J95" s="7"/>
      <c r="K95" s="23"/>
      <c r="M95" s="7" t="s">
        <v>412</v>
      </c>
      <c r="N95" s="7" t="s">
        <v>417</v>
      </c>
      <c r="O95" s="7" t="s">
        <v>414</v>
      </c>
      <c r="P95" s="7" t="s">
        <v>418</v>
      </c>
      <c r="Q95" s="7" t="s">
        <v>419</v>
      </c>
      <c r="R95" s="7" t="s">
        <v>145</v>
      </c>
      <c r="S95" s="14" t="str">
        <f t="shared" si="13"/>
        <v>202511</v>
      </c>
      <c r="U95" s="25" t="s">
        <v>509</v>
      </c>
      <c r="V95" s="25" t="s">
        <v>509</v>
      </c>
      <c r="W95" s="14" t="s">
        <v>190</v>
      </c>
      <c r="X95" s="25" t="s">
        <v>509</v>
      </c>
      <c r="Y95" s="100"/>
      <c r="AA95" s="7" t="s">
        <v>412</v>
      </c>
      <c r="AB95" s="7" t="s">
        <v>417</v>
      </c>
      <c r="AC95" s="7" t="s">
        <v>414</v>
      </c>
      <c r="AD95" s="7" t="s">
        <v>418</v>
      </c>
      <c r="AE95" s="7" t="s">
        <v>419</v>
      </c>
      <c r="AF95" s="7" t="s">
        <v>145</v>
      </c>
      <c r="AG95" s="14" t="str">
        <f t="shared" si="14"/>
        <v>202511</v>
      </c>
      <c r="AH95" s="25" t="s">
        <v>509</v>
      </c>
      <c r="AI95" s="25" t="s">
        <v>509</v>
      </c>
      <c r="AJ95" s="14" t="s">
        <v>190</v>
      </c>
      <c r="AK95" s="25" t="s">
        <v>509</v>
      </c>
      <c r="AM95" s="7" t="s">
        <v>412</v>
      </c>
      <c r="AN95" s="7" t="s">
        <v>417</v>
      </c>
      <c r="AO95" s="7" t="s">
        <v>414</v>
      </c>
      <c r="AP95" s="7" t="s">
        <v>418</v>
      </c>
      <c r="AQ95" s="7" t="s">
        <v>419</v>
      </c>
      <c r="AR95" s="14" t="str">
        <f t="shared" si="12"/>
        <v>202511</v>
      </c>
      <c r="AS95" s="25" t="s">
        <v>509</v>
      </c>
      <c r="AT95" s="25" t="s">
        <v>509</v>
      </c>
      <c r="AU95" s="14" t="s">
        <v>190</v>
      </c>
      <c r="AV95" s="25" t="s">
        <v>509</v>
      </c>
    </row>
    <row r="96" spans="2:48" ht="30" x14ac:dyDescent="0.25">
      <c r="B96" s="7"/>
      <c r="C96" s="7"/>
      <c r="D96" s="7"/>
      <c r="E96" s="7"/>
      <c r="F96" s="7"/>
      <c r="G96" s="7"/>
      <c r="H96" s="7"/>
      <c r="I96" s="7"/>
      <c r="J96" s="7"/>
      <c r="K96" s="23"/>
      <c r="M96" s="7" t="s">
        <v>412</v>
      </c>
      <c r="N96" s="7" t="s">
        <v>420</v>
      </c>
      <c r="O96" s="7" t="s">
        <v>421</v>
      </c>
      <c r="P96" s="7" t="s">
        <v>422</v>
      </c>
      <c r="Q96" s="7" t="s">
        <v>419</v>
      </c>
      <c r="R96" s="7" t="s">
        <v>145</v>
      </c>
      <c r="S96" s="14" t="str">
        <f t="shared" si="13"/>
        <v>202511</v>
      </c>
      <c r="U96" s="25" t="s">
        <v>509</v>
      </c>
      <c r="V96" s="25" t="s">
        <v>509</v>
      </c>
      <c r="W96" s="14" t="s">
        <v>190</v>
      </c>
      <c r="X96" s="25" t="s">
        <v>509</v>
      </c>
      <c r="Y96" s="100"/>
      <c r="AA96" s="7" t="s">
        <v>412</v>
      </c>
      <c r="AB96" s="7" t="s">
        <v>420</v>
      </c>
      <c r="AC96" s="7" t="s">
        <v>421</v>
      </c>
      <c r="AD96" s="7" t="s">
        <v>422</v>
      </c>
      <c r="AE96" s="7" t="s">
        <v>419</v>
      </c>
      <c r="AF96" s="7" t="s">
        <v>145</v>
      </c>
      <c r="AG96" s="14" t="str">
        <f t="shared" si="14"/>
        <v>202511</v>
      </c>
      <c r="AH96" s="25" t="s">
        <v>509</v>
      </c>
      <c r="AI96" s="25" t="s">
        <v>509</v>
      </c>
      <c r="AJ96" s="14" t="s">
        <v>190</v>
      </c>
      <c r="AK96" s="25" t="s">
        <v>509</v>
      </c>
      <c r="AM96" s="7" t="s">
        <v>412</v>
      </c>
      <c r="AN96" s="7" t="s">
        <v>420</v>
      </c>
      <c r="AO96" s="7" t="s">
        <v>421</v>
      </c>
      <c r="AP96" s="7" t="s">
        <v>422</v>
      </c>
      <c r="AQ96" s="7" t="s">
        <v>419</v>
      </c>
      <c r="AR96" s="14" t="str">
        <f t="shared" si="12"/>
        <v>202511</v>
      </c>
      <c r="AS96" s="25" t="s">
        <v>509</v>
      </c>
      <c r="AT96" s="25" t="s">
        <v>509</v>
      </c>
      <c r="AU96" s="14" t="s">
        <v>190</v>
      </c>
      <c r="AV96" s="25" t="s">
        <v>509</v>
      </c>
    </row>
    <row r="97" spans="1:49" ht="30" x14ac:dyDescent="0.25">
      <c r="B97" s="7"/>
      <c r="C97" s="7"/>
      <c r="D97" s="7"/>
      <c r="E97" s="7"/>
      <c r="F97" s="7"/>
      <c r="G97" s="7"/>
      <c r="H97" s="7"/>
      <c r="I97" s="7"/>
      <c r="J97" s="7"/>
      <c r="K97" s="23"/>
      <c r="M97" s="7" t="s">
        <v>423</v>
      </c>
      <c r="N97" s="7" t="s">
        <v>424</v>
      </c>
      <c r="O97" s="7" t="s">
        <v>425</v>
      </c>
      <c r="P97" s="7" t="s">
        <v>426</v>
      </c>
      <c r="Q97" s="7" t="s">
        <v>427</v>
      </c>
      <c r="R97" s="7" t="s">
        <v>145</v>
      </c>
      <c r="S97" s="14" t="str">
        <f t="shared" si="13"/>
        <v>202511</v>
      </c>
      <c r="U97" s="25" t="s">
        <v>509</v>
      </c>
      <c r="V97" s="25" t="s">
        <v>509</v>
      </c>
      <c r="W97" s="14" t="s">
        <v>190</v>
      </c>
      <c r="X97" s="25" t="s">
        <v>509</v>
      </c>
      <c r="Y97" s="100"/>
      <c r="AA97" s="7" t="s">
        <v>423</v>
      </c>
      <c r="AB97" s="7" t="s">
        <v>424</v>
      </c>
      <c r="AC97" s="7" t="s">
        <v>425</v>
      </c>
      <c r="AD97" s="7" t="s">
        <v>426</v>
      </c>
      <c r="AE97" s="7" t="s">
        <v>427</v>
      </c>
      <c r="AF97" s="7" t="s">
        <v>145</v>
      </c>
      <c r="AG97" s="14" t="str">
        <f t="shared" si="14"/>
        <v>202511</v>
      </c>
      <c r="AH97" s="25" t="s">
        <v>509</v>
      </c>
      <c r="AI97" s="25" t="s">
        <v>509</v>
      </c>
      <c r="AJ97" s="14" t="s">
        <v>190</v>
      </c>
      <c r="AK97" s="25" t="s">
        <v>509</v>
      </c>
      <c r="AM97" s="7" t="s">
        <v>423</v>
      </c>
      <c r="AN97" s="7" t="s">
        <v>424</v>
      </c>
      <c r="AO97" s="7" t="s">
        <v>425</v>
      </c>
      <c r="AP97" s="7" t="s">
        <v>426</v>
      </c>
      <c r="AQ97" s="7" t="s">
        <v>427</v>
      </c>
      <c r="AR97" s="14" t="str">
        <f t="shared" si="12"/>
        <v>202511</v>
      </c>
      <c r="AS97" s="25" t="s">
        <v>509</v>
      </c>
      <c r="AT97" s="25" t="s">
        <v>509</v>
      </c>
      <c r="AU97" s="14" t="s">
        <v>190</v>
      </c>
      <c r="AV97" s="25" t="s">
        <v>509</v>
      </c>
    </row>
    <row r="98" spans="1:49" ht="30" x14ac:dyDescent="0.25">
      <c r="B98" s="7"/>
      <c r="C98" s="7"/>
      <c r="D98" s="7"/>
      <c r="E98" s="7"/>
      <c r="F98" s="7"/>
      <c r="G98" s="7"/>
      <c r="H98" s="7"/>
      <c r="I98" s="7"/>
      <c r="J98" s="7"/>
      <c r="K98" s="23"/>
      <c r="M98" s="7" t="s">
        <v>428</v>
      </c>
      <c r="N98" s="7" t="s">
        <v>429</v>
      </c>
      <c r="O98" s="7" t="s">
        <v>425</v>
      </c>
      <c r="P98" s="7" t="s">
        <v>430</v>
      </c>
      <c r="Q98" s="7" t="s">
        <v>427</v>
      </c>
      <c r="R98" s="7" t="s">
        <v>145</v>
      </c>
      <c r="S98" s="14" t="str">
        <f t="shared" si="13"/>
        <v>202511</v>
      </c>
      <c r="U98" s="25" t="s">
        <v>509</v>
      </c>
      <c r="V98" s="25" t="s">
        <v>509</v>
      </c>
      <c r="W98" s="14" t="s">
        <v>190</v>
      </c>
      <c r="X98" s="25" t="s">
        <v>509</v>
      </c>
      <c r="Y98" s="100"/>
      <c r="AA98" s="7" t="s">
        <v>428</v>
      </c>
      <c r="AB98" s="7" t="s">
        <v>429</v>
      </c>
      <c r="AC98" s="7" t="s">
        <v>425</v>
      </c>
      <c r="AD98" s="7" t="s">
        <v>430</v>
      </c>
      <c r="AE98" s="7" t="s">
        <v>427</v>
      </c>
      <c r="AF98" s="7" t="s">
        <v>145</v>
      </c>
      <c r="AG98" s="14" t="str">
        <f t="shared" si="14"/>
        <v>202511</v>
      </c>
      <c r="AH98" s="25" t="s">
        <v>509</v>
      </c>
      <c r="AI98" s="25" t="s">
        <v>509</v>
      </c>
      <c r="AJ98" s="14" t="s">
        <v>190</v>
      </c>
      <c r="AK98" s="25" t="s">
        <v>509</v>
      </c>
      <c r="AM98" s="7" t="s">
        <v>428</v>
      </c>
      <c r="AN98" s="7" t="s">
        <v>429</v>
      </c>
      <c r="AO98" s="7" t="s">
        <v>425</v>
      </c>
      <c r="AP98" s="7" t="s">
        <v>430</v>
      </c>
      <c r="AQ98" s="7" t="s">
        <v>427</v>
      </c>
      <c r="AR98" s="14" t="str">
        <f t="shared" si="12"/>
        <v>202511</v>
      </c>
      <c r="AS98" s="25" t="s">
        <v>509</v>
      </c>
      <c r="AT98" s="25" t="s">
        <v>509</v>
      </c>
      <c r="AU98" s="14" t="s">
        <v>190</v>
      </c>
      <c r="AV98" s="25" t="s">
        <v>509</v>
      </c>
    </row>
    <row r="99" spans="1:49" ht="30" x14ac:dyDescent="0.25">
      <c r="B99" s="7"/>
      <c r="C99" s="7"/>
      <c r="D99" s="7"/>
      <c r="E99" s="7"/>
      <c r="F99" s="7"/>
      <c r="G99" s="7"/>
      <c r="H99" s="7"/>
      <c r="I99" s="7"/>
      <c r="J99" s="7"/>
      <c r="K99" s="23"/>
      <c r="M99" s="7" t="s">
        <v>428</v>
      </c>
      <c r="N99" s="7" t="s">
        <v>431</v>
      </c>
      <c r="O99" s="7" t="s">
        <v>425</v>
      </c>
      <c r="P99" s="7" t="s">
        <v>432</v>
      </c>
      <c r="Q99" s="7" t="s">
        <v>427</v>
      </c>
      <c r="R99" s="7" t="s">
        <v>145</v>
      </c>
      <c r="S99" s="14" t="str">
        <f t="shared" si="13"/>
        <v>202511</v>
      </c>
      <c r="U99" s="25" t="s">
        <v>509</v>
      </c>
      <c r="V99" s="25" t="s">
        <v>509</v>
      </c>
      <c r="W99" s="14" t="s">
        <v>190</v>
      </c>
      <c r="X99" s="25" t="s">
        <v>509</v>
      </c>
      <c r="Y99" s="100"/>
      <c r="AA99" s="7" t="s">
        <v>428</v>
      </c>
      <c r="AB99" s="7" t="s">
        <v>431</v>
      </c>
      <c r="AC99" s="7" t="s">
        <v>425</v>
      </c>
      <c r="AD99" s="7" t="s">
        <v>432</v>
      </c>
      <c r="AE99" s="7" t="s">
        <v>427</v>
      </c>
      <c r="AF99" s="7" t="s">
        <v>145</v>
      </c>
      <c r="AG99" s="14" t="str">
        <f t="shared" si="14"/>
        <v>202511</v>
      </c>
      <c r="AH99" s="25" t="s">
        <v>509</v>
      </c>
      <c r="AI99" s="25" t="s">
        <v>509</v>
      </c>
      <c r="AJ99" s="14" t="s">
        <v>190</v>
      </c>
      <c r="AK99" s="25" t="s">
        <v>509</v>
      </c>
      <c r="AM99" s="7" t="s">
        <v>428</v>
      </c>
      <c r="AN99" s="7" t="s">
        <v>431</v>
      </c>
      <c r="AO99" s="7" t="s">
        <v>425</v>
      </c>
      <c r="AP99" s="7" t="s">
        <v>432</v>
      </c>
      <c r="AQ99" s="7" t="s">
        <v>427</v>
      </c>
      <c r="AR99" s="14" t="str">
        <f t="shared" si="12"/>
        <v>202511</v>
      </c>
      <c r="AS99" s="25" t="s">
        <v>509</v>
      </c>
      <c r="AT99" s="25" t="s">
        <v>509</v>
      </c>
      <c r="AU99" s="14" t="s">
        <v>190</v>
      </c>
      <c r="AV99" s="25" t="s">
        <v>509</v>
      </c>
    </row>
    <row r="100" spans="1:49" ht="30" x14ac:dyDescent="0.25">
      <c r="B100" s="7"/>
      <c r="C100" s="7"/>
      <c r="D100" s="7"/>
      <c r="E100" s="7"/>
      <c r="F100" s="7"/>
      <c r="G100" s="7"/>
      <c r="H100" s="7"/>
      <c r="I100" s="7"/>
      <c r="J100" s="7"/>
      <c r="K100" s="23"/>
      <c r="M100" s="7" t="s">
        <v>433</v>
      </c>
      <c r="N100" s="7" t="s">
        <v>434</v>
      </c>
      <c r="O100" s="7" t="s">
        <v>425</v>
      </c>
      <c r="P100" s="7" t="s">
        <v>435</v>
      </c>
      <c r="Q100" s="7" t="s">
        <v>427</v>
      </c>
      <c r="R100" s="7" t="s">
        <v>145</v>
      </c>
      <c r="S100" s="14" t="str">
        <f t="shared" si="13"/>
        <v>202511</v>
      </c>
      <c r="U100" s="25" t="s">
        <v>509</v>
      </c>
      <c r="V100" s="25" t="s">
        <v>509</v>
      </c>
      <c r="W100" s="14" t="s">
        <v>190</v>
      </c>
      <c r="X100" s="25" t="s">
        <v>509</v>
      </c>
      <c r="Y100" s="100"/>
      <c r="AA100" s="7" t="s">
        <v>433</v>
      </c>
      <c r="AB100" s="7" t="s">
        <v>434</v>
      </c>
      <c r="AC100" s="7" t="s">
        <v>425</v>
      </c>
      <c r="AD100" s="7" t="s">
        <v>435</v>
      </c>
      <c r="AE100" s="7" t="s">
        <v>427</v>
      </c>
      <c r="AF100" s="7" t="s">
        <v>145</v>
      </c>
      <c r="AG100" s="14" t="str">
        <f t="shared" si="14"/>
        <v>202511</v>
      </c>
      <c r="AH100" s="25" t="s">
        <v>509</v>
      </c>
      <c r="AI100" s="25" t="s">
        <v>509</v>
      </c>
      <c r="AJ100" s="14" t="s">
        <v>190</v>
      </c>
      <c r="AK100" s="25" t="s">
        <v>509</v>
      </c>
      <c r="AM100" s="7" t="s">
        <v>433</v>
      </c>
      <c r="AN100" s="7" t="s">
        <v>434</v>
      </c>
      <c r="AO100" s="7" t="s">
        <v>425</v>
      </c>
      <c r="AP100" s="7" t="s">
        <v>435</v>
      </c>
      <c r="AQ100" s="7" t="s">
        <v>427</v>
      </c>
      <c r="AR100" s="14" t="str">
        <f t="shared" si="12"/>
        <v>202511</v>
      </c>
      <c r="AS100" s="25" t="s">
        <v>509</v>
      </c>
      <c r="AT100" s="25" t="s">
        <v>509</v>
      </c>
      <c r="AU100" s="14" t="s">
        <v>190</v>
      </c>
      <c r="AV100" s="25" t="s">
        <v>509</v>
      </c>
    </row>
    <row r="101" spans="1:49" ht="30" x14ac:dyDescent="0.25">
      <c r="B101" s="19"/>
      <c r="C101" s="19"/>
      <c r="D101" s="19"/>
      <c r="E101" s="19"/>
      <c r="F101" s="19"/>
      <c r="G101" s="19"/>
      <c r="H101" s="19"/>
      <c r="I101" s="19"/>
      <c r="J101" s="19"/>
      <c r="M101" s="7" t="s">
        <v>438</v>
      </c>
      <c r="N101" s="7" t="s">
        <v>439</v>
      </c>
      <c r="O101" s="7" t="s">
        <v>212</v>
      </c>
      <c r="P101" s="7" t="s">
        <v>440</v>
      </c>
      <c r="Q101" s="7" t="s">
        <v>441</v>
      </c>
      <c r="R101" s="7" t="s">
        <v>145</v>
      </c>
      <c r="S101" s="14" t="str">
        <f t="shared" si="13"/>
        <v>202511</v>
      </c>
      <c r="U101" s="25" t="s">
        <v>509</v>
      </c>
      <c r="V101" s="25" t="s">
        <v>509</v>
      </c>
      <c r="W101" s="14" t="s">
        <v>190</v>
      </c>
      <c r="X101" s="25" t="s">
        <v>509</v>
      </c>
      <c r="Y101" s="100"/>
      <c r="AA101" s="7" t="s">
        <v>438</v>
      </c>
      <c r="AB101" s="7" t="s">
        <v>439</v>
      </c>
      <c r="AC101" s="7" t="s">
        <v>212</v>
      </c>
      <c r="AD101" s="7" t="s">
        <v>440</v>
      </c>
      <c r="AE101" s="7" t="s">
        <v>441</v>
      </c>
      <c r="AF101" s="7" t="s">
        <v>145</v>
      </c>
      <c r="AG101" s="14" t="str">
        <f t="shared" si="14"/>
        <v>202511</v>
      </c>
      <c r="AH101" s="25" t="s">
        <v>509</v>
      </c>
      <c r="AI101" s="25" t="s">
        <v>509</v>
      </c>
      <c r="AJ101" s="14" t="s">
        <v>190</v>
      </c>
      <c r="AK101" s="25" t="s">
        <v>509</v>
      </c>
      <c r="AM101" s="7" t="s">
        <v>438</v>
      </c>
      <c r="AN101" s="7" t="s">
        <v>439</v>
      </c>
      <c r="AO101" s="7" t="s">
        <v>212</v>
      </c>
      <c r="AP101" s="7" t="s">
        <v>440</v>
      </c>
      <c r="AQ101" s="7" t="s">
        <v>441</v>
      </c>
      <c r="AR101" s="14" t="str">
        <f t="shared" si="12"/>
        <v>202511</v>
      </c>
      <c r="AS101" s="25" t="s">
        <v>509</v>
      </c>
      <c r="AT101" s="25" t="s">
        <v>509</v>
      </c>
      <c r="AU101" s="14" t="s">
        <v>190</v>
      </c>
      <c r="AV101" s="25" t="s">
        <v>509</v>
      </c>
    </row>
    <row r="102" spans="1:49" ht="30" x14ac:dyDescent="0.25">
      <c r="B102" s="19"/>
      <c r="C102" s="19"/>
      <c r="D102" s="19"/>
      <c r="E102" s="19"/>
      <c r="F102" s="19"/>
      <c r="G102" s="19"/>
      <c r="H102" s="19"/>
      <c r="I102" s="19"/>
      <c r="J102" s="19"/>
      <c r="M102" s="7" t="s">
        <v>443</v>
      </c>
      <c r="N102" s="7" t="s">
        <v>444</v>
      </c>
      <c r="O102" s="7" t="s">
        <v>212</v>
      </c>
      <c r="P102" s="7" t="s">
        <v>445</v>
      </c>
      <c r="Q102" s="7" t="s">
        <v>446</v>
      </c>
      <c r="R102" s="7" t="s">
        <v>145</v>
      </c>
      <c r="S102" s="14" t="str">
        <f t="shared" si="13"/>
        <v>202511</v>
      </c>
      <c r="U102" s="25" t="s">
        <v>509</v>
      </c>
      <c r="V102" s="25" t="s">
        <v>509</v>
      </c>
      <c r="W102" s="14" t="s">
        <v>190</v>
      </c>
      <c r="X102" s="25" t="s">
        <v>509</v>
      </c>
      <c r="Y102" s="100"/>
      <c r="AA102" s="7" t="s">
        <v>443</v>
      </c>
      <c r="AB102" s="7" t="s">
        <v>444</v>
      </c>
      <c r="AC102" s="7" t="s">
        <v>212</v>
      </c>
      <c r="AD102" s="7" t="s">
        <v>445</v>
      </c>
      <c r="AE102" s="7" t="s">
        <v>446</v>
      </c>
      <c r="AF102" s="7" t="s">
        <v>145</v>
      </c>
      <c r="AG102" s="14" t="str">
        <f t="shared" si="14"/>
        <v>202511</v>
      </c>
      <c r="AH102" s="25" t="s">
        <v>509</v>
      </c>
      <c r="AI102" s="25" t="s">
        <v>509</v>
      </c>
      <c r="AJ102" s="14" t="s">
        <v>190</v>
      </c>
      <c r="AK102" s="25" t="s">
        <v>509</v>
      </c>
      <c r="AM102" s="7" t="s">
        <v>443</v>
      </c>
      <c r="AN102" s="7" t="s">
        <v>444</v>
      </c>
      <c r="AO102" s="7" t="s">
        <v>212</v>
      </c>
      <c r="AP102" s="7" t="s">
        <v>445</v>
      </c>
      <c r="AQ102" s="7" t="s">
        <v>446</v>
      </c>
      <c r="AR102" s="14" t="str">
        <f t="shared" si="12"/>
        <v>202511</v>
      </c>
      <c r="AS102" s="25" t="s">
        <v>509</v>
      </c>
      <c r="AT102" s="25" t="s">
        <v>509</v>
      </c>
      <c r="AU102" s="14" t="s">
        <v>190</v>
      </c>
      <c r="AV102" s="25" t="s">
        <v>509</v>
      </c>
    </row>
    <row r="103" spans="1:49" ht="30" x14ac:dyDescent="0.25">
      <c r="B103" s="19"/>
      <c r="C103" s="19"/>
      <c r="D103" s="19"/>
      <c r="E103" s="19"/>
      <c r="F103" s="19"/>
      <c r="G103" s="19"/>
      <c r="H103" s="19"/>
      <c r="I103" s="19"/>
      <c r="J103" s="19"/>
      <c r="M103" s="7" t="s">
        <v>447</v>
      </c>
      <c r="N103" s="7" t="s">
        <v>448</v>
      </c>
      <c r="O103" s="7" t="s">
        <v>449</v>
      </c>
      <c r="P103" s="7" t="s">
        <v>450</v>
      </c>
      <c r="Q103" s="7" t="s">
        <v>451</v>
      </c>
      <c r="R103" s="7" t="s">
        <v>145</v>
      </c>
      <c r="S103" s="14" t="str">
        <f t="shared" si="13"/>
        <v>202511</v>
      </c>
      <c r="U103" s="25" t="s">
        <v>509</v>
      </c>
      <c r="V103" s="25" t="s">
        <v>509</v>
      </c>
      <c r="W103" s="14" t="s">
        <v>190</v>
      </c>
      <c r="X103" s="25" t="s">
        <v>509</v>
      </c>
      <c r="Y103" s="100"/>
      <c r="AA103" s="7" t="s">
        <v>447</v>
      </c>
      <c r="AB103" s="7" t="s">
        <v>448</v>
      </c>
      <c r="AC103" s="7" t="s">
        <v>449</v>
      </c>
      <c r="AD103" s="7" t="s">
        <v>450</v>
      </c>
      <c r="AE103" s="7" t="s">
        <v>451</v>
      </c>
      <c r="AF103" s="7" t="s">
        <v>145</v>
      </c>
      <c r="AG103" s="14" t="str">
        <f t="shared" si="14"/>
        <v>202511</v>
      </c>
      <c r="AH103" s="25" t="s">
        <v>509</v>
      </c>
      <c r="AI103" s="25" t="s">
        <v>509</v>
      </c>
      <c r="AJ103" s="14" t="s">
        <v>190</v>
      </c>
      <c r="AK103" s="25" t="s">
        <v>509</v>
      </c>
      <c r="AM103" s="7" t="s">
        <v>447</v>
      </c>
      <c r="AN103" s="7" t="s">
        <v>448</v>
      </c>
      <c r="AO103" s="7" t="s">
        <v>449</v>
      </c>
      <c r="AP103" s="7" t="s">
        <v>450</v>
      </c>
      <c r="AQ103" s="7" t="s">
        <v>451</v>
      </c>
      <c r="AR103" s="14" t="str">
        <f t="shared" si="12"/>
        <v>202511</v>
      </c>
      <c r="AS103" s="25" t="s">
        <v>509</v>
      </c>
      <c r="AT103" s="25" t="s">
        <v>509</v>
      </c>
      <c r="AU103" s="14" t="s">
        <v>190</v>
      </c>
      <c r="AV103" s="25" t="s">
        <v>509</v>
      </c>
    </row>
    <row r="104" spans="1:49" ht="30" x14ac:dyDescent="0.25">
      <c r="B104" s="19"/>
      <c r="C104" s="19"/>
      <c r="D104" s="19"/>
      <c r="E104" s="19"/>
      <c r="F104" s="19"/>
      <c r="G104" s="19"/>
      <c r="H104" s="19"/>
      <c r="I104" s="19"/>
      <c r="J104" s="19"/>
      <c r="M104" s="7" t="s">
        <v>452</v>
      </c>
      <c r="N104" s="7" t="s">
        <v>453</v>
      </c>
      <c r="O104" s="7" t="s">
        <v>349</v>
      </c>
      <c r="P104" s="7" t="s">
        <v>454</v>
      </c>
      <c r="Q104" s="7" t="s">
        <v>455</v>
      </c>
      <c r="R104" s="7" t="s">
        <v>145</v>
      </c>
      <c r="S104" s="14" t="str">
        <f t="shared" si="13"/>
        <v>202511</v>
      </c>
      <c r="U104" s="25" t="s">
        <v>509</v>
      </c>
      <c r="V104" s="25" t="s">
        <v>509</v>
      </c>
      <c r="W104" s="14" t="s">
        <v>190</v>
      </c>
      <c r="X104" s="25" t="s">
        <v>509</v>
      </c>
      <c r="Y104" s="100"/>
      <c r="AA104" s="7" t="s">
        <v>452</v>
      </c>
      <c r="AB104" s="7" t="s">
        <v>453</v>
      </c>
      <c r="AC104" s="7" t="s">
        <v>349</v>
      </c>
      <c r="AD104" s="7" t="s">
        <v>454</v>
      </c>
      <c r="AE104" s="7" t="s">
        <v>455</v>
      </c>
      <c r="AF104" s="7" t="s">
        <v>145</v>
      </c>
      <c r="AG104" s="14" t="str">
        <f t="shared" si="14"/>
        <v>202511</v>
      </c>
      <c r="AH104" s="25" t="s">
        <v>509</v>
      </c>
      <c r="AI104" s="25" t="s">
        <v>509</v>
      </c>
      <c r="AJ104" s="14" t="s">
        <v>190</v>
      </c>
      <c r="AK104" s="25" t="s">
        <v>509</v>
      </c>
      <c r="AM104" s="7" t="s">
        <v>452</v>
      </c>
      <c r="AN104" s="7" t="s">
        <v>453</v>
      </c>
      <c r="AO104" s="7" t="s">
        <v>349</v>
      </c>
      <c r="AP104" s="7" t="s">
        <v>454</v>
      </c>
      <c r="AQ104" s="7" t="s">
        <v>455</v>
      </c>
      <c r="AR104" s="14" t="str">
        <f t="shared" si="12"/>
        <v>202511</v>
      </c>
      <c r="AS104" s="25" t="s">
        <v>509</v>
      </c>
      <c r="AT104" s="25" t="s">
        <v>509</v>
      </c>
      <c r="AU104" s="14" t="s">
        <v>190</v>
      </c>
      <c r="AV104" s="25" t="s">
        <v>509</v>
      </c>
    </row>
    <row r="105" spans="1:49" ht="30" x14ac:dyDescent="0.25">
      <c r="B105" s="19"/>
      <c r="C105" s="19"/>
      <c r="D105" s="19"/>
      <c r="E105" s="19"/>
      <c r="F105" s="19"/>
      <c r="G105" s="19"/>
      <c r="H105" s="19"/>
      <c r="I105" s="19"/>
      <c r="J105" s="19"/>
      <c r="M105" s="7" t="s">
        <v>456</v>
      </c>
      <c r="N105" s="7" t="s">
        <v>457</v>
      </c>
      <c r="O105" s="7" t="s">
        <v>425</v>
      </c>
      <c r="P105" s="7" t="s">
        <v>458</v>
      </c>
      <c r="Q105" s="7" t="s">
        <v>459</v>
      </c>
      <c r="R105" s="7" t="s">
        <v>145</v>
      </c>
      <c r="S105" s="14" t="str">
        <f t="shared" si="13"/>
        <v>202511</v>
      </c>
      <c r="U105" s="25" t="s">
        <v>509</v>
      </c>
      <c r="V105" s="25" t="s">
        <v>509</v>
      </c>
      <c r="W105" s="14" t="s">
        <v>190</v>
      </c>
      <c r="X105" s="25" t="s">
        <v>509</v>
      </c>
      <c r="Y105" s="100"/>
      <c r="AA105" s="7" t="s">
        <v>456</v>
      </c>
      <c r="AB105" s="7" t="s">
        <v>457</v>
      </c>
      <c r="AC105" s="7" t="s">
        <v>425</v>
      </c>
      <c r="AD105" s="7" t="s">
        <v>458</v>
      </c>
      <c r="AE105" s="7" t="s">
        <v>459</v>
      </c>
      <c r="AF105" s="7" t="s">
        <v>145</v>
      </c>
      <c r="AG105" s="14" t="str">
        <f t="shared" si="14"/>
        <v>202511</v>
      </c>
      <c r="AH105" s="25" t="s">
        <v>509</v>
      </c>
      <c r="AI105" s="25" t="s">
        <v>509</v>
      </c>
      <c r="AJ105" s="14" t="s">
        <v>190</v>
      </c>
      <c r="AK105" s="25" t="s">
        <v>509</v>
      </c>
      <c r="AM105" s="7" t="s">
        <v>456</v>
      </c>
      <c r="AN105" s="7" t="s">
        <v>457</v>
      </c>
      <c r="AO105" s="7" t="s">
        <v>425</v>
      </c>
      <c r="AP105" s="7" t="s">
        <v>458</v>
      </c>
      <c r="AQ105" s="7" t="s">
        <v>459</v>
      </c>
      <c r="AR105" s="14" t="str">
        <f t="shared" si="12"/>
        <v>202511</v>
      </c>
      <c r="AS105" s="25" t="s">
        <v>509</v>
      </c>
      <c r="AT105" s="25" t="s">
        <v>509</v>
      </c>
      <c r="AU105" s="14" t="s">
        <v>190</v>
      </c>
      <c r="AV105" s="25" t="s">
        <v>509</v>
      </c>
    </row>
    <row r="106" spans="1:49" ht="30" x14ac:dyDescent="0.25">
      <c r="B106" s="19"/>
      <c r="C106" s="19"/>
      <c r="D106" s="19"/>
      <c r="E106" s="19"/>
      <c r="F106" s="19"/>
      <c r="G106" s="19"/>
      <c r="H106" s="19"/>
      <c r="I106" s="19"/>
      <c r="J106" s="19"/>
      <c r="M106" s="7" t="s">
        <v>460</v>
      </c>
      <c r="N106" s="7" t="s">
        <v>461</v>
      </c>
      <c r="O106" s="7" t="s">
        <v>425</v>
      </c>
      <c r="P106" s="7" t="s">
        <v>462</v>
      </c>
      <c r="Q106" s="7" t="s">
        <v>463</v>
      </c>
      <c r="R106" s="7" t="s">
        <v>145</v>
      </c>
      <c r="S106" s="14" t="str">
        <f t="shared" si="13"/>
        <v>202511</v>
      </c>
      <c r="U106" s="25" t="s">
        <v>509</v>
      </c>
      <c r="V106" s="25" t="s">
        <v>509</v>
      </c>
      <c r="W106" s="14" t="s">
        <v>190</v>
      </c>
      <c r="X106" s="25" t="s">
        <v>509</v>
      </c>
      <c r="Y106" s="100"/>
      <c r="AA106" s="7" t="s">
        <v>460</v>
      </c>
      <c r="AB106" s="7" t="s">
        <v>461</v>
      </c>
      <c r="AC106" s="7" t="s">
        <v>425</v>
      </c>
      <c r="AD106" s="7" t="s">
        <v>462</v>
      </c>
      <c r="AE106" s="7" t="s">
        <v>463</v>
      </c>
      <c r="AF106" s="7" t="s">
        <v>145</v>
      </c>
      <c r="AG106" s="14" t="str">
        <f t="shared" si="14"/>
        <v>202511</v>
      </c>
      <c r="AH106" s="25" t="s">
        <v>509</v>
      </c>
      <c r="AI106" s="25" t="s">
        <v>509</v>
      </c>
      <c r="AJ106" s="14" t="s">
        <v>190</v>
      </c>
      <c r="AK106" s="25" t="s">
        <v>509</v>
      </c>
      <c r="AM106" s="7" t="s">
        <v>460</v>
      </c>
      <c r="AN106" s="7" t="s">
        <v>461</v>
      </c>
      <c r="AO106" s="7" t="s">
        <v>425</v>
      </c>
      <c r="AP106" s="7" t="s">
        <v>462</v>
      </c>
      <c r="AQ106" s="7" t="s">
        <v>463</v>
      </c>
      <c r="AR106" s="14" t="str">
        <f t="shared" si="12"/>
        <v>202511</v>
      </c>
      <c r="AS106" s="25" t="s">
        <v>509</v>
      </c>
      <c r="AT106" s="25" t="s">
        <v>509</v>
      </c>
      <c r="AU106" s="14" t="s">
        <v>190</v>
      </c>
      <c r="AV106" s="25" t="s">
        <v>509</v>
      </c>
    </row>
    <row r="107" spans="1:49" ht="30" x14ac:dyDescent="0.25">
      <c r="B107" s="19"/>
      <c r="C107" s="19"/>
      <c r="D107" s="19"/>
      <c r="E107" s="19"/>
      <c r="F107" s="19"/>
      <c r="G107" s="19"/>
      <c r="H107" s="19"/>
      <c r="I107" s="19"/>
      <c r="J107" s="19"/>
      <c r="M107" s="7" t="s">
        <v>460</v>
      </c>
      <c r="N107" s="7" t="s">
        <v>464</v>
      </c>
      <c r="O107" s="7" t="s">
        <v>209</v>
      </c>
      <c r="P107" s="7" t="s">
        <v>465</v>
      </c>
      <c r="Q107" s="7" t="s">
        <v>466</v>
      </c>
      <c r="R107" s="7" t="s">
        <v>145</v>
      </c>
      <c r="S107" s="14" t="str">
        <f t="shared" si="13"/>
        <v>202511</v>
      </c>
      <c r="U107" s="25" t="s">
        <v>509</v>
      </c>
      <c r="V107" s="25" t="s">
        <v>509</v>
      </c>
      <c r="W107" s="14" t="s">
        <v>190</v>
      </c>
      <c r="X107" s="25" t="s">
        <v>509</v>
      </c>
      <c r="Y107" s="100"/>
      <c r="AA107" s="7" t="s">
        <v>460</v>
      </c>
      <c r="AB107" s="7" t="s">
        <v>464</v>
      </c>
      <c r="AC107" s="7" t="s">
        <v>209</v>
      </c>
      <c r="AD107" s="7" t="s">
        <v>465</v>
      </c>
      <c r="AE107" s="7" t="s">
        <v>466</v>
      </c>
      <c r="AF107" s="7" t="s">
        <v>145</v>
      </c>
      <c r="AG107" s="14" t="str">
        <f t="shared" si="14"/>
        <v>202511</v>
      </c>
      <c r="AH107" s="25" t="s">
        <v>509</v>
      </c>
      <c r="AI107" s="25" t="s">
        <v>509</v>
      </c>
      <c r="AJ107" s="14" t="s">
        <v>190</v>
      </c>
      <c r="AK107" s="25" t="s">
        <v>509</v>
      </c>
      <c r="AM107" s="7" t="s">
        <v>460</v>
      </c>
      <c r="AN107" s="7" t="s">
        <v>464</v>
      </c>
      <c r="AO107" s="7" t="s">
        <v>209</v>
      </c>
      <c r="AP107" s="7" t="s">
        <v>465</v>
      </c>
      <c r="AQ107" s="7" t="s">
        <v>466</v>
      </c>
      <c r="AR107" s="14" t="str">
        <f t="shared" si="12"/>
        <v>202511</v>
      </c>
      <c r="AS107" s="25" t="s">
        <v>509</v>
      </c>
      <c r="AT107" s="25" t="s">
        <v>509</v>
      </c>
      <c r="AU107" s="14" t="s">
        <v>190</v>
      </c>
      <c r="AV107" s="25" t="s">
        <v>509</v>
      </c>
    </row>
    <row r="108" spans="1:49" ht="30" x14ac:dyDescent="0.25">
      <c r="M108" s="7" t="s">
        <v>467</v>
      </c>
      <c r="N108" s="7" t="s">
        <v>468</v>
      </c>
      <c r="O108" s="7" t="s">
        <v>212</v>
      </c>
      <c r="P108" s="7" t="s">
        <v>469</v>
      </c>
      <c r="Q108" s="7" t="s">
        <v>470</v>
      </c>
      <c r="R108" s="7" t="s">
        <v>145</v>
      </c>
      <c r="S108" s="14" t="str">
        <f t="shared" si="13"/>
        <v>202511</v>
      </c>
      <c r="U108" s="25" t="s">
        <v>509</v>
      </c>
      <c r="V108" s="25" t="s">
        <v>509</v>
      </c>
      <c r="W108" s="14" t="s">
        <v>190</v>
      </c>
      <c r="X108" s="25" t="s">
        <v>509</v>
      </c>
      <c r="Y108" s="100"/>
      <c r="AA108" s="7" t="s">
        <v>467</v>
      </c>
      <c r="AB108" s="7" t="s">
        <v>468</v>
      </c>
      <c r="AC108" s="7" t="s">
        <v>212</v>
      </c>
      <c r="AD108" s="7" t="s">
        <v>469</v>
      </c>
      <c r="AE108" s="7" t="s">
        <v>470</v>
      </c>
      <c r="AF108" s="7" t="s">
        <v>145</v>
      </c>
      <c r="AG108" s="14" t="str">
        <f t="shared" si="14"/>
        <v>202511</v>
      </c>
      <c r="AH108" s="25" t="s">
        <v>509</v>
      </c>
      <c r="AI108" s="25" t="s">
        <v>509</v>
      </c>
      <c r="AJ108" s="14" t="s">
        <v>190</v>
      </c>
      <c r="AK108" s="25" t="s">
        <v>509</v>
      </c>
      <c r="AM108" s="7" t="s">
        <v>467</v>
      </c>
      <c r="AN108" s="7" t="s">
        <v>468</v>
      </c>
      <c r="AO108" s="7" t="s">
        <v>212</v>
      </c>
      <c r="AP108" s="7" t="s">
        <v>469</v>
      </c>
      <c r="AQ108" s="7" t="s">
        <v>470</v>
      </c>
      <c r="AR108" s="14" t="str">
        <f t="shared" si="12"/>
        <v>202511</v>
      </c>
      <c r="AS108" s="25" t="s">
        <v>509</v>
      </c>
      <c r="AT108" s="25" t="s">
        <v>509</v>
      </c>
      <c r="AU108" s="14" t="s">
        <v>190</v>
      </c>
      <c r="AV108" s="25" t="s">
        <v>509</v>
      </c>
    </row>
    <row r="109" spans="1:49" ht="30" x14ac:dyDescent="0.25">
      <c r="B109" s="7"/>
      <c r="C109" s="7"/>
      <c r="D109" s="7"/>
      <c r="E109" s="7"/>
      <c r="F109" s="7"/>
      <c r="G109" s="7"/>
      <c r="H109" s="7"/>
      <c r="I109" s="7"/>
      <c r="J109" s="7"/>
      <c r="K109" s="23"/>
      <c r="M109" s="7" t="s">
        <v>472</v>
      </c>
      <c r="N109" s="7" t="s">
        <v>473</v>
      </c>
      <c r="O109" s="7" t="s">
        <v>212</v>
      </c>
      <c r="P109" s="7" t="s">
        <v>474</v>
      </c>
      <c r="Q109" s="7" t="s">
        <v>475</v>
      </c>
      <c r="R109" s="7" t="s">
        <v>145</v>
      </c>
      <c r="S109" s="14" t="str">
        <f t="shared" si="13"/>
        <v>202511</v>
      </c>
      <c r="U109" s="25" t="s">
        <v>509</v>
      </c>
      <c r="V109" s="25" t="s">
        <v>509</v>
      </c>
      <c r="W109" s="14" t="s">
        <v>190</v>
      </c>
      <c r="X109" s="25" t="s">
        <v>509</v>
      </c>
      <c r="Y109" s="100"/>
      <c r="AA109" s="7" t="s">
        <v>472</v>
      </c>
      <c r="AB109" s="7" t="s">
        <v>473</v>
      </c>
      <c r="AC109" s="7" t="s">
        <v>212</v>
      </c>
      <c r="AD109" s="7" t="s">
        <v>474</v>
      </c>
      <c r="AE109" s="7" t="s">
        <v>475</v>
      </c>
      <c r="AF109" s="7" t="s">
        <v>145</v>
      </c>
      <c r="AG109" s="14" t="str">
        <f t="shared" si="14"/>
        <v>202511</v>
      </c>
      <c r="AH109" s="25" t="s">
        <v>509</v>
      </c>
      <c r="AI109" s="25" t="s">
        <v>509</v>
      </c>
      <c r="AJ109" s="14" t="s">
        <v>190</v>
      </c>
      <c r="AK109" s="25" t="s">
        <v>509</v>
      </c>
      <c r="AM109" s="7" t="s">
        <v>472</v>
      </c>
      <c r="AN109" s="7" t="s">
        <v>473</v>
      </c>
      <c r="AO109" s="7" t="s">
        <v>212</v>
      </c>
      <c r="AP109" s="7" t="s">
        <v>474</v>
      </c>
      <c r="AQ109" s="7" t="s">
        <v>475</v>
      </c>
      <c r="AR109" s="14" t="str">
        <f t="shared" si="12"/>
        <v>202511</v>
      </c>
      <c r="AS109" s="25" t="s">
        <v>509</v>
      </c>
      <c r="AT109" s="25" t="s">
        <v>509</v>
      </c>
      <c r="AU109" s="14" t="s">
        <v>190</v>
      </c>
      <c r="AV109" s="25" t="s">
        <v>509</v>
      </c>
    </row>
    <row r="110" spans="1:49" ht="30" x14ac:dyDescent="0.25">
      <c r="B110" s="7"/>
      <c r="C110" s="7"/>
      <c r="D110" s="7"/>
      <c r="E110" s="7"/>
      <c r="F110" s="7"/>
      <c r="G110" s="7"/>
      <c r="H110" s="7"/>
      <c r="I110" s="7"/>
      <c r="J110" s="7"/>
      <c r="K110" s="24"/>
      <c r="M110" s="7" t="s">
        <v>477</v>
      </c>
      <c r="N110" s="7" t="s">
        <v>478</v>
      </c>
      <c r="O110" s="7" t="s">
        <v>212</v>
      </c>
      <c r="P110" s="7" t="s">
        <v>479</v>
      </c>
      <c r="Q110" s="7" t="s">
        <v>475</v>
      </c>
      <c r="R110" s="7" t="s">
        <v>145</v>
      </c>
      <c r="S110" s="14" t="str">
        <f t="shared" si="13"/>
        <v>202511</v>
      </c>
      <c r="U110" s="25" t="s">
        <v>509</v>
      </c>
      <c r="V110" s="25" t="s">
        <v>509</v>
      </c>
      <c r="W110" s="14" t="s">
        <v>190</v>
      </c>
      <c r="X110" s="25" t="s">
        <v>509</v>
      </c>
      <c r="Y110" s="100"/>
      <c r="AA110" s="7" t="s">
        <v>477</v>
      </c>
      <c r="AB110" s="7" t="s">
        <v>478</v>
      </c>
      <c r="AC110" s="7" t="s">
        <v>212</v>
      </c>
      <c r="AD110" s="7" t="s">
        <v>479</v>
      </c>
      <c r="AE110" s="7" t="s">
        <v>475</v>
      </c>
      <c r="AF110" s="7" t="s">
        <v>145</v>
      </c>
      <c r="AG110" s="14" t="str">
        <f t="shared" si="14"/>
        <v>202511</v>
      </c>
      <c r="AH110" s="25" t="s">
        <v>509</v>
      </c>
      <c r="AI110" s="25" t="s">
        <v>509</v>
      </c>
      <c r="AJ110" s="14" t="s">
        <v>190</v>
      </c>
      <c r="AK110" s="25" t="s">
        <v>509</v>
      </c>
      <c r="AM110" s="7" t="s">
        <v>477</v>
      </c>
      <c r="AN110" s="7" t="s">
        <v>478</v>
      </c>
      <c r="AO110" s="7" t="s">
        <v>212</v>
      </c>
      <c r="AP110" s="7" t="s">
        <v>479</v>
      </c>
      <c r="AQ110" s="7" t="s">
        <v>475</v>
      </c>
      <c r="AR110" s="14" t="str">
        <f t="shared" si="12"/>
        <v>202511</v>
      </c>
      <c r="AS110" s="25" t="s">
        <v>509</v>
      </c>
      <c r="AT110" s="25" t="s">
        <v>509</v>
      </c>
      <c r="AU110" s="14" t="s">
        <v>190</v>
      </c>
      <c r="AV110" s="25" t="s">
        <v>509</v>
      </c>
    </row>
    <row r="111" spans="1:49" ht="30" x14ac:dyDescent="0.25">
      <c r="B111" s="7"/>
      <c r="C111" s="7"/>
      <c r="D111" s="7"/>
      <c r="E111" s="7"/>
      <c r="F111" s="7"/>
      <c r="G111" s="7"/>
      <c r="H111" s="7"/>
      <c r="I111" s="7"/>
      <c r="J111" s="7"/>
      <c r="K111" s="24"/>
      <c r="M111" s="7" t="s">
        <v>510</v>
      </c>
      <c r="N111" s="7" t="s">
        <v>511</v>
      </c>
      <c r="O111" s="7" t="s">
        <v>425</v>
      </c>
      <c r="P111" s="7" t="s">
        <v>512</v>
      </c>
      <c r="Q111" s="7" t="s">
        <v>212</v>
      </c>
      <c r="R111" s="7" t="s">
        <v>145</v>
      </c>
      <c r="S111" s="14" t="str">
        <f t="shared" si="13"/>
        <v>202511</v>
      </c>
      <c r="U111" s="25" t="s">
        <v>509</v>
      </c>
      <c r="V111" s="25" t="s">
        <v>509</v>
      </c>
      <c r="W111" s="14" t="s">
        <v>190</v>
      </c>
      <c r="X111" s="25" t="s">
        <v>509</v>
      </c>
      <c r="Y111" s="100"/>
      <c r="AA111" s="7" t="s">
        <v>510</v>
      </c>
      <c r="AB111" s="7" t="s">
        <v>511</v>
      </c>
      <c r="AC111" s="7" t="s">
        <v>425</v>
      </c>
      <c r="AD111" s="7" t="s">
        <v>512</v>
      </c>
      <c r="AE111" s="7" t="s">
        <v>212</v>
      </c>
      <c r="AF111" s="7" t="s">
        <v>145</v>
      </c>
      <c r="AG111" s="14" t="str">
        <f t="shared" si="14"/>
        <v>202511</v>
      </c>
      <c r="AH111" s="25" t="s">
        <v>509</v>
      </c>
      <c r="AI111" s="25" t="s">
        <v>509</v>
      </c>
      <c r="AJ111" s="14" t="s">
        <v>190</v>
      </c>
      <c r="AK111" s="25" t="s">
        <v>509</v>
      </c>
      <c r="AM111" s="7" t="s">
        <v>510</v>
      </c>
      <c r="AN111" s="7" t="s">
        <v>511</v>
      </c>
      <c r="AO111" s="7" t="s">
        <v>425</v>
      </c>
      <c r="AP111" s="7" t="s">
        <v>512</v>
      </c>
      <c r="AQ111" s="7" t="s">
        <v>212</v>
      </c>
      <c r="AR111" s="14" t="str">
        <f t="shared" si="12"/>
        <v>202511</v>
      </c>
      <c r="AS111" s="25" t="s">
        <v>509</v>
      </c>
      <c r="AT111" s="25" t="s">
        <v>509</v>
      </c>
      <c r="AU111" s="14" t="s">
        <v>190</v>
      </c>
      <c r="AV111" s="25" t="s">
        <v>509</v>
      </c>
    </row>
    <row r="112" spans="1:49" x14ac:dyDescent="0.25">
      <c r="A112" s="44" t="s">
        <v>393</v>
      </c>
      <c r="B112" s="9" t="s">
        <v>436</v>
      </c>
      <c r="C112" s="6"/>
      <c r="D112" s="6"/>
      <c r="E112" s="6"/>
      <c r="F112" s="6"/>
      <c r="G112" s="6"/>
      <c r="H112" s="6"/>
      <c r="I112" s="6"/>
      <c r="J112" s="6"/>
      <c r="K112" s="6"/>
      <c r="M112" s="9" t="s">
        <v>83</v>
      </c>
      <c r="N112" s="6"/>
      <c r="O112" s="6"/>
      <c r="P112" s="6"/>
      <c r="Q112" s="6"/>
      <c r="R112" s="6"/>
      <c r="S112" s="13"/>
      <c r="T112" s="13"/>
      <c r="U112" s="13"/>
      <c r="V112" s="13"/>
      <c r="W112" s="13"/>
      <c r="X112" s="13"/>
      <c r="Y112" s="6"/>
      <c r="AA112" s="9" t="s">
        <v>83</v>
      </c>
      <c r="AB112" s="6"/>
      <c r="AC112" s="6"/>
      <c r="AD112" s="6"/>
      <c r="AE112" s="6"/>
      <c r="AF112" s="6"/>
      <c r="AG112" s="13"/>
      <c r="AH112" s="13"/>
      <c r="AI112" s="13"/>
      <c r="AJ112" s="13"/>
      <c r="AK112" s="13"/>
      <c r="AM112" s="9" t="s">
        <v>83</v>
      </c>
      <c r="AN112" s="6"/>
      <c r="AO112" s="6"/>
      <c r="AP112" s="6"/>
      <c r="AQ112" s="6"/>
      <c r="AR112" s="13"/>
      <c r="AS112" s="13"/>
      <c r="AT112" s="13"/>
      <c r="AU112" s="13"/>
      <c r="AV112" s="13"/>
      <c r="AW112" s="6"/>
    </row>
    <row r="113" spans="1:48" x14ac:dyDescent="0.25">
      <c r="A113" s="20" t="s">
        <v>517</v>
      </c>
      <c r="B113" s="2" t="s">
        <v>518</v>
      </c>
      <c r="C113" s="2" t="s">
        <v>519</v>
      </c>
      <c r="D113" s="2" t="s">
        <v>520</v>
      </c>
      <c r="E113" s="2" t="s">
        <v>521</v>
      </c>
      <c r="F113" s="2" t="s">
        <v>522</v>
      </c>
      <c r="G113" s="23" t="s">
        <v>523</v>
      </c>
      <c r="H113" s="23" t="s">
        <v>523</v>
      </c>
      <c r="I113" s="2" t="s">
        <v>524</v>
      </c>
      <c r="J113" s="23" t="s">
        <v>523</v>
      </c>
      <c r="K113" s="25"/>
      <c r="M113" s="19" t="s">
        <v>480</v>
      </c>
      <c r="N113" s="19" t="s">
        <v>481</v>
      </c>
      <c r="O113" s="19" t="s">
        <v>212</v>
      </c>
      <c r="P113" s="19" t="s">
        <v>482</v>
      </c>
      <c r="Q113" s="19" t="s">
        <v>483</v>
      </c>
      <c r="R113" s="19" t="s">
        <v>145</v>
      </c>
      <c r="S113" s="21" t="s">
        <v>514</v>
      </c>
      <c r="U113" s="10" t="s">
        <v>476</v>
      </c>
      <c r="V113" s="10" t="s">
        <v>476</v>
      </c>
      <c r="W113" s="21" t="s">
        <v>190</v>
      </c>
      <c r="X113" s="21" t="s">
        <v>476</v>
      </c>
      <c r="AA113" s="27" t="s">
        <v>480</v>
      </c>
      <c r="AB113" s="27" t="s">
        <v>481</v>
      </c>
      <c r="AC113" s="27" t="s">
        <v>212</v>
      </c>
      <c r="AD113" s="27" t="s">
        <v>482</v>
      </c>
      <c r="AE113" s="27" t="s">
        <v>483</v>
      </c>
      <c r="AF113" s="27" t="s">
        <v>145</v>
      </c>
      <c r="AG113" s="38" t="s">
        <v>514</v>
      </c>
      <c r="AH113" s="38" t="s">
        <v>476</v>
      </c>
      <c r="AI113" s="38" t="s">
        <v>476</v>
      </c>
      <c r="AJ113" s="38" t="s">
        <v>190</v>
      </c>
      <c r="AK113" s="46" t="s">
        <v>509</v>
      </c>
      <c r="AM113" s="27" t="s">
        <v>480</v>
      </c>
      <c r="AN113" s="27" t="s">
        <v>481</v>
      </c>
      <c r="AO113" s="27" t="s">
        <v>212</v>
      </c>
      <c r="AP113" s="27" t="s">
        <v>482</v>
      </c>
      <c r="AQ113" s="27" t="s">
        <v>483</v>
      </c>
      <c r="AR113" s="38" t="str">
        <f t="shared" ref="AR113:AR146" si="15">YEAR(AQ113) &amp; RIGHT("0" &amp; MONTH(AQ113), 2)</f>
        <v>202511</v>
      </c>
      <c r="AS113" s="38" t="s">
        <v>476</v>
      </c>
      <c r="AT113" s="38" t="s">
        <v>476</v>
      </c>
      <c r="AU113" s="38" t="s">
        <v>190</v>
      </c>
      <c r="AV113" s="46" t="s">
        <v>509</v>
      </c>
    </row>
    <row r="114" spans="1:48" x14ac:dyDescent="0.25">
      <c r="B114" s="2" t="s">
        <v>384</v>
      </c>
      <c r="C114" s="2" t="s">
        <v>525</v>
      </c>
      <c r="D114" s="2" t="s">
        <v>212</v>
      </c>
      <c r="E114" s="2" t="s">
        <v>526</v>
      </c>
      <c r="F114" s="2" t="s">
        <v>527</v>
      </c>
      <c r="G114" s="23" t="s">
        <v>523</v>
      </c>
      <c r="H114" s="23" t="s">
        <v>523</v>
      </c>
      <c r="I114" s="2" t="s">
        <v>524</v>
      </c>
      <c r="J114" s="23" t="s">
        <v>523</v>
      </c>
      <c r="M114" s="19" t="s">
        <v>480</v>
      </c>
      <c r="N114" s="19" t="s">
        <v>484</v>
      </c>
      <c r="O114" s="19" t="s">
        <v>212</v>
      </c>
      <c r="P114" s="19" t="s">
        <v>485</v>
      </c>
      <c r="Q114" s="19" t="s">
        <v>483</v>
      </c>
      <c r="R114" s="19" t="s">
        <v>145</v>
      </c>
      <c r="S114" s="21" t="s">
        <v>514</v>
      </c>
      <c r="U114" s="10" t="s">
        <v>476</v>
      </c>
      <c r="V114" s="10" t="s">
        <v>476</v>
      </c>
      <c r="W114" s="21" t="s">
        <v>190</v>
      </c>
      <c r="X114" s="21" t="s">
        <v>476</v>
      </c>
      <c r="AA114" s="27" t="s">
        <v>480</v>
      </c>
      <c r="AB114" s="27" t="s">
        <v>484</v>
      </c>
      <c r="AC114" s="27" t="s">
        <v>212</v>
      </c>
      <c r="AD114" s="27" t="s">
        <v>485</v>
      </c>
      <c r="AE114" s="27" t="s">
        <v>483</v>
      </c>
      <c r="AF114" s="27" t="s">
        <v>145</v>
      </c>
      <c r="AG114" s="38" t="s">
        <v>514</v>
      </c>
      <c r="AH114" s="38" t="s">
        <v>476</v>
      </c>
      <c r="AI114" s="38" t="s">
        <v>476</v>
      </c>
      <c r="AJ114" s="38" t="s">
        <v>190</v>
      </c>
      <c r="AK114" s="46" t="s">
        <v>509</v>
      </c>
      <c r="AM114" s="27" t="s">
        <v>480</v>
      </c>
      <c r="AN114" s="27" t="s">
        <v>484</v>
      </c>
      <c r="AO114" s="27" t="s">
        <v>212</v>
      </c>
      <c r="AP114" s="27" t="s">
        <v>485</v>
      </c>
      <c r="AQ114" s="27" t="s">
        <v>483</v>
      </c>
      <c r="AR114" s="38" t="str">
        <f t="shared" si="15"/>
        <v>202511</v>
      </c>
      <c r="AS114" s="38" t="s">
        <v>476</v>
      </c>
      <c r="AT114" s="38" t="s">
        <v>476</v>
      </c>
      <c r="AU114" s="38" t="s">
        <v>190</v>
      </c>
      <c r="AV114" s="46" t="s">
        <v>509</v>
      </c>
    </row>
    <row r="115" spans="1:48" x14ac:dyDescent="0.25">
      <c r="B115" s="2" t="s">
        <v>528</v>
      </c>
      <c r="C115" s="2" t="s">
        <v>529</v>
      </c>
      <c r="D115" s="2" t="s">
        <v>212</v>
      </c>
      <c r="E115" s="2" t="s">
        <v>530</v>
      </c>
      <c r="F115" s="2" t="s">
        <v>527</v>
      </c>
      <c r="G115" s="23" t="s">
        <v>523</v>
      </c>
      <c r="H115" s="23" t="s">
        <v>523</v>
      </c>
      <c r="I115" s="2" t="s">
        <v>524</v>
      </c>
      <c r="J115" s="23" t="s">
        <v>523</v>
      </c>
      <c r="M115" s="19" t="s">
        <v>486</v>
      </c>
      <c r="N115" s="19" t="s">
        <v>487</v>
      </c>
      <c r="O115" s="19" t="s">
        <v>212</v>
      </c>
      <c r="P115" s="19" t="s">
        <v>488</v>
      </c>
      <c r="Q115" s="19" t="s">
        <v>483</v>
      </c>
      <c r="R115" s="19" t="s">
        <v>145</v>
      </c>
      <c r="S115" s="21" t="s">
        <v>514</v>
      </c>
      <c r="U115" s="10" t="s">
        <v>476</v>
      </c>
      <c r="V115" s="10" t="s">
        <v>476</v>
      </c>
      <c r="W115" s="21" t="s">
        <v>190</v>
      </c>
      <c r="X115" s="21" t="s">
        <v>476</v>
      </c>
      <c r="AA115" s="27" t="s">
        <v>486</v>
      </c>
      <c r="AB115" s="27" t="s">
        <v>487</v>
      </c>
      <c r="AC115" s="27" t="s">
        <v>212</v>
      </c>
      <c r="AD115" s="27" t="s">
        <v>488</v>
      </c>
      <c r="AE115" s="27" t="s">
        <v>483</v>
      </c>
      <c r="AF115" s="27" t="s">
        <v>145</v>
      </c>
      <c r="AG115" s="38" t="s">
        <v>514</v>
      </c>
      <c r="AH115" s="38" t="s">
        <v>476</v>
      </c>
      <c r="AI115" s="38" t="s">
        <v>476</v>
      </c>
      <c r="AJ115" s="38" t="s">
        <v>190</v>
      </c>
      <c r="AK115" s="46" t="s">
        <v>509</v>
      </c>
      <c r="AM115" s="27" t="s">
        <v>486</v>
      </c>
      <c r="AN115" s="27" t="s">
        <v>487</v>
      </c>
      <c r="AO115" s="27" t="s">
        <v>212</v>
      </c>
      <c r="AP115" s="27" t="s">
        <v>488</v>
      </c>
      <c r="AQ115" s="27" t="s">
        <v>483</v>
      </c>
      <c r="AR115" s="38" t="str">
        <f t="shared" si="15"/>
        <v>202511</v>
      </c>
      <c r="AS115" s="38" t="s">
        <v>476</v>
      </c>
      <c r="AT115" s="38" t="s">
        <v>476</v>
      </c>
      <c r="AU115" s="38" t="s">
        <v>190</v>
      </c>
      <c r="AV115" s="46" t="s">
        <v>509</v>
      </c>
    </row>
    <row r="116" spans="1:48" x14ac:dyDescent="0.25">
      <c r="B116" s="2" t="s">
        <v>480</v>
      </c>
      <c r="C116" s="2" t="s">
        <v>531</v>
      </c>
      <c r="D116" s="2" t="s">
        <v>520</v>
      </c>
      <c r="E116" s="2" t="s">
        <v>532</v>
      </c>
      <c r="F116" s="2" t="s">
        <v>533</v>
      </c>
      <c r="G116" s="23" t="s">
        <v>523</v>
      </c>
      <c r="H116" s="23" t="s">
        <v>523</v>
      </c>
      <c r="I116" s="2" t="s">
        <v>524</v>
      </c>
      <c r="J116" s="23" t="s">
        <v>523</v>
      </c>
      <c r="M116" s="19" t="s">
        <v>486</v>
      </c>
      <c r="N116" s="19" t="s">
        <v>489</v>
      </c>
      <c r="O116" s="19" t="s">
        <v>212</v>
      </c>
      <c r="P116" s="19" t="s">
        <v>490</v>
      </c>
      <c r="Q116" s="19" t="s">
        <v>483</v>
      </c>
      <c r="R116" s="19" t="s">
        <v>145</v>
      </c>
      <c r="S116" s="21" t="s">
        <v>514</v>
      </c>
      <c r="U116" s="10" t="s">
        <v>476</v>
      </c>
      <c r="V116" s="10" t="s">
        <v>476</v>
      </c>
      <c r="W116" s="21" t="s">
        <v>190</v>
      </c>
      <c r="X116" s="21" t="s">
        <v>476</v>
      </c>
      <c r="AA116" s="27" t="s">
        <v>486</v>
      </c>
      <c r="AB116" s="27" t="s">
        <v>489</v>
      </c>
      <c r="AC116" s="27" t="s">
        <v>212</v>
      </c>
      <c r="AD116" s="27" t="s">
        <v>490</v>
      </c>
      <c r="AE116" s="27" t="s">
        <v>483</v>
      </c>
      <c r="AF116" s="27" t="s">
        <v>145</v>
      </c>
      <c r="AG116" s="38" t="s">
        <v>514</v>
      </c>
      <c r="AH116" s="38" t="s">
        <v>476</v>
      </c>
      <c r="AI116" s="38" t="s">
        <v>476</v>
      </c>
      <c r="AJ116" s="38" t="s">
        <v>190</v>
      </c>
      <c r="AK116" s="46" t="s">
        <v>509</v>
      </c>
      <c r="AM116" s="27" t="s">
        <v>486</v>
      </c>
      <c r="AN116" s="27" t="s">
        <v>489</v>
      </c>
      <c r="AO116" s="27" t="s">
        <v>212</v>
      </c>
      <c r="AP116" s="27" t="s">
        <v>490</v>
      </c>
      <c r="AQ116" s="27" t="s">
        <v>483</v>
      </c>
      <c r="AR116" s="38" t="str">
        <f t="shared" si="15"/>
        <v>202511</v>
      </c>
      <c r="AS116" s="38" t="s">
        <v>476</v>
      </c>
      <c r="AT116" s="38" t="s">
        <v>476</v>
      </c>
      <c r="AU116" s="38" t="s">
        <v>190</v>
      </c>
      <c r="AV116" s="46" t="s">
        <v>509</v>
      </c>
    </row>
    <row r="117" spans="1:48" x14ac:dyDescent="0.25">
      <c r="B117" s="2" t="s">
        <v>486</v>
      </c>
      <c r="C117" s="2" t="s">
        <v>534</v>
      </c>
      <c r="D117" s="2" t="s">
        <v>520</v>
      </c>
      <c r="E117" s="2" t="s">
        <v>535</v>
      </c>
      <c r="F117" s="2" t="s">
        <v>533</v>
      </c>
      <c r="G117" s="23" t="s">
        <v>523</v>
      </c>
      <c r="H117" s="23" t="s">
        <v>523</v>
      </c>
      <c r="I117" s="2" t="s">
        <v>524</v>
      </c>
      <c r="J117" s="23" t="s">
        <v>523</v>
      </c>
      <c r="M117" s="19" t="s">
        <v>480</v>
      </c>
      <c r="N117" s="19" t="s">
        <v>491</v>
      </c>
      <c r="O117" s="19" t="s">
        <v>212</v>
      </c>
      <c r="P117" s="19" t="s">
        <v>492</v>
      </c>
      <c r="Q117" s="19" t="s">
        <v>483</v>
      </c>
      <c r="R117" s="19" t="s">
        <v>145</v>
      </c>
      <c r="S117" s="21" t="s">
        <v>514</v>
      </c>
      <c r="U117" s="10" t="s">
        <v>476</v>
      </c>
      <c r="V117" s="10" t="s">
        <v>476</v>
      </c>
      <c r="W117" s="21" t="s">
        <v>190</v>
      </c>
      <c r="X117" s="21" t="s">
        <v>476</v>
      </c>
      <c r="AA117" s="27" t="s">
        <v>480</v>
      </c>
      <c r="AB117" s="27" t="s">
        <v>491</v>
      </c>
      <c r="AC117" s="27" t="s">
        <v>212</v>
      </c>
      <c r="AD117" s="27" t="s">
        <v>492</v>
      </c>
      <c r="AE117" s="27" t="s">
        <v>483</v>
      </c>
      <c r="AF117" s="27" t="s">
        <v>145</v>
      </c>
      <c r="AG117" s="38" t="s">
        <v>514</v>
      </c>
      <c r="AH117" s="38" t="s">
        <v>476</v>
      </c>
      <c r="AI117" s="38" t="s">
        <v>476</v>
      </c>
      <c r="AJ117" s="38" t="s">
        <v>190</v>
      </c>
      <c r="AK117" s="46" t="s">
        <v>509</v>
      </c>
      <c r="AM117" s="27" t="s">
        <v>480</v>
      </c>
      <c r="AN117" s="27" t="s">
        <v>491</v>
      </c>
      <c r="AO117" s="27" t="s">
        <v>212</v>
      </c>
      <c r="AP117" s="27" t="s">
        <v>492</v>
      </c>
      <c r="AQ117" s="27" t="s">
        <v>483</v>
      </c>
      <c r="AR117" s="38" t="str">
        <f t="shared" si="15"/>
        <v>202511</v>
      </c>
      <c r="AS117" s="38" t="s">
        <v>476</v>
      </c>
      <c r="AT117" s="38" t="s">
        <v>476</v>
      </c>
      <c r="AU117" s="38" t="s">
        <v>190</v>
      </c>
      <c r="AV117" s="46" t="s">
        <v>509</v>
      </c>
    </row>
    <row r="118" spans="1:48" x14ac:dyDescent="0.25">
      <c r="B118" s="2" t="s">
        <v>480</v>
      </c>
      <c r="C118" s="2" t="s">
        <v>536</v>
      </c>
      <c r="D118" s="2" t="s">
        <v>520</v>
      </c>
      <c r="E118" s="2" t="s">
        <v>537</v>
      </c>
      <c r="F118" s="2" t="s">
        <v>533</v>
      </c>
      <c r="G118" s="23" t="s">
        <v>523</v>
      </c>
      <c r="H118" s="23" t="s">
        <v>523</v>
      </c>
      <c r="I118" s="2" t="s">
        <v>524</v>
      </c>
      <c r="J118" s="23" t="s">
        <v>523</v>
      </c>
      <c r="M118" s="19" t="s">
        <v>486</v>
      </c>
      <c r="N118" s="19" t="s">
        <v>493</v>
      </c>
      <c r="O118" s="19" t="s">
        <v>212</v>
      </c>
      <c r="P118" s="19" t="s">
        <v>494</v>
      </c>
      <c r="Q118" s="19" t="s">
        <v>483</v>
      </c>
      <c r="R118" s="19" t="s">
        <v>145</v>
      </c>
      <c r="S118" s="21" t="s">
        <v>514</v>
      </c>
      <c r="U118" s="10" t="s">
        <v>476</v>
      </c>
      <c r="V118" s="10" t="s">
        <v>476</v>
      </c>
      <c r="W118" s="21" t="s">
        <v>190</v>
      </c>
      <c r="X118" s="21" t="s">
        <v>476</v>
      </c>
      <c r="AA118" s="27" t="s">
        <v>486</v>
      </c>
      <c r="AB118" s="27" t="s">
        <v>493</v>
      </c>
      <c r="AC118" s="27" t="s">
        <v>212</v>
      </c>
      <c r="AD118" s="27" t="s">
        <v>494</v>
      </c>
      <c r="AE118" s="27" t="s">
        <v>483</v>
      </c>
      <c r="AF118" s="27" t="s">
        <v>145</v>
      </c>
      <c r="AG118" s="38" t="s">
        <v>514</v>
      </c>
      <c r="AH118" s="38" t="s">
        <v>476</v>
      </c>
      <c r="AI118" s="38" t="s">
        <v>476</v>
      </c>
      <c r="AJ118" s="38" t="s">
        <v>190</v>
      </c>
      <c r="AK118" s="46" t="s">
        <v>509</v>
      </c>
      <c r="AM118" s="27" t="s">
        <v>486</v>
      </c>
      <c r="AN118" s="27" t="s">
        <v>493</v>
      </c>
      <c r="AO118" s="27" t="s">
        <v>212</v>
      </c>
      <c r="AP118" s="27" t="s">
        <v>494</v>
      </c>
      <c r="AQ118" s="27" t="s">
        <v>483</v>
      </c>
      <c r="AR118" s="38" t="str">
        <f t="shared" si="15"/>
        <v>202511</v>
      </c>
      <c r="AS118" s="38" t="s">
        <v>476</v>
      </c>
      <c r="AT118" s="38" t="s">
        <v>476</v>
      </c>
      <c r="AU118" s="38" t="s">
        <v>190</v>
      </c>
      <c r="AV118" s="46" t="s">
        <v>509</v>
      </c>
    </row>
    <row r="119" spans="1:48" x14ac:dyDescent="0.25">
      <c r="B119" s="2" t="s">
        <v>480</v>
      </c>
      <c r="C119" s="2" t="s">
        <v>538</v>
      </c>
      <c r="D119" s="2" t="s">
        <v>520</v>
      </c>
      <c r="E119" s="2" t="s">
        <v>539</v>
      </c>
      <c r="F119" s="2" t="s">
        <v>533</v>
      </c>
      <c r="G119" s="23" t="s">
        <v>523</v>
      </c>
      <c r="H119" s="23" t="s">
        <v>523</v>
      </c>
      <c r="I119" s="2" t="s">
        <v>524</v>
      </c>
      <c r="J119" s="23" t="s">
        <v>523</v>
      </c>
      <c r="M119" s="19" t="s">
        <v>486</v>
      </c>
      <c r="N119" s="19" t="s">
        <v>495</v>
      </c>
      <c r="O119" s="19" t="s">
        <v>212</v>
      </c>
      <c r="P119" s="19" t="s">
        <v>496</v>
      </c>
      <c r="Q119" s="19" t="s">
        <v>483</v>
      </c>
      <c r="R119" s="19" t="s">
        <v>145</v>
      </c>
      <c r="S119" s="21" t="s">
        <v>514</v>
      </c>
      <c r="U119" s="10" t="s">
        <v>476</v>
      </c>
      <c r="V119" s="10" t="s">
        <v>476</v>
      </c>
      <c r="W119" s="21" t="s">
        <v>190</v>
      </c>
      <c r="X119" s="21" t="s">
        <v>476</v>
      </c>
      <c r="AA119" s="27" t="s">
        <v>486</v>
      </c>
      <c r="AB119" s="27" t="s">
        <v>495</v>
      </c>
      <c r="AC119" s="27" t="s">
        <v>212</v>
      </c>
      <c r="AD119" s="27" t="s">
        <v>496</v>
      </c>
      <c r="AE119" s="27" t="s">
        <v>483</v>
      </c>
      <c r="AF119" s="27" t="s">
        <v>145</v>
      </c>
      <c r="AG119" s="38" t="s">
        <v>514</v>
      </c>
      <c r="AH119" s="38" t="s">
        <v>476</v>
      </c>
      <c r="AI119" s="38" t="s">
        <v>476</v>
      </c>
      <c r="AJ119" s="38" t="s">
        <v>190</v>
      </c>
      <c r="AK119" s="46" t="s">
        <v>509</v>
      </c>
      <c r="AM119" s="27" t="s">
        <v>486</v>
      </c>
      <c r="AN119" s="27" t="s">
        <v>495</v>
      </c>
      <c r="AO119" s="27" t="s">
        <v>212</v>
      </c>
      <c r="AP119" s="27" t="s">
        <v>496</v>
      </c>
      <c r="AQ119" s="27" t="s">
        <v>483</v>
      </c>
      <c r="AR119" s="38" t="str">
        <f t="shared" si="15"/>
        <v>202511</v>
      </c>
      <c r="AS119" s="38" t="s">
        <v>476</v>
      </c>
      <c r="AT119" s="38" t="s">
        <v>476</v>
      </c>
      <c r="AU119" s="38" t="s">
        <v>190</v>
      </c>
      <c r="AV119" s="46" t="s">
        <v>509</v>
      </c>
    </row>
    <row r="120" spans="1:48" x14ac:dyDescent="0.25">
      <c r="M120" s="19" t="s">
        <v>480</v>
      </c>
      <c r="N120" s="19" t="s">
        <v>497</v>
      </c>
      <c r="O120" s="19" t="s">
        <v>212</v>
      </c>
      <c r="P120" s="19" t="s">
        <v>498</v>
      </c>
      <c r="Q120" s="19" t="s">
        <v>483</v>
      </c>
      <c r="R120" s="19" t="s">
        <v>145</v>
      </c>
      <c r="S120" s="21" t="s">
        <v>514</v>
      </c>
      <c r="U120" s="10" t="s">
        <v>476</v>
      </c>
      <c r="V120" s="10" t="s">
        <v>476</v>
      </c>
      <c r="W120" s="21" t="s">
        <v>190</v>
      </c>
      <c r="X120" s="21" t="s">
        <v>476</v>
      </c>
      <c r="AA120" s="27" t="s">
        <v>480</v>
      </c>
      <c r="AB120" s="27" t="s">
        <v>497</v>
      </c>
      <c r="AC120" s="27" t="s">
        <v>212</v>
      </c>
      <c r="AD120" s="27" t="s">
        <v>498</v>
      </c>
      <c r="AE120" s="27" t="s">
        <v>483</v>
      </c>
      <c r="AF120" s="27" t="s">
        <v>145</v>
      </c>
      <c r="AG120" s="38" t="s">
        <v>514</v>
      </c>
      <c r="AH120" s="38" t="s">
        <v>476</v>
      </c>
      <c r="AI120" s="38" t="s">
        <v>476</v>
      </c>
      <c r="AJ120" s="38" t="s">
        <v>190</v>
      </c>
      <c r="AK120" s="46" t="s">
        <v>509</v>
      </c>
      <c r="AM120" s="27" t="s">
        <v>480</v>
      </c>
      <c r="AN120" s="27" t="s">
        <v>497</v>
      </c>
      <c r="AO120" s="27" t="s">
        <v>212</v>
      </c>
      <c r="AP120" s="27" t="s">
        <v>498</v>
      </c>
      <c r="AQ120" s="27" t="s">
        <v>483</v>
      </c>
      <c r="AR120" s="38" t="str">
        <f t="shared" si="15"/>
        <v>202511</v>
      </c>
      <c r="AS120" s="38" t="s">
        <v>476</v>
      </c>
      <c r="AT120" s="38" t="s">
        <v>476</v>
      </c>
      <c r="AU120" s="38" t="s">
        <v>190</v>
      </c>
      <c r="AV120" s="46" t="s">
        <v>509</v>
      </c>
    </row>
    <row r="121" spans="1:48" x14ac:dyDescent="0.25">
      <c r="M121" s="19" t="s">
        <v>408</v>
      </c>
      <c r="N121" s="19" t="s">
        <v>409</v>
      </c>
      <c r="O121" s="19" t="s">
        <v>209</v>
      </c>
      <c r="P121" s="19" t="s">
        <v>508</v>
      </c>
      <c r="Q121" s="19" t="s">
        <v>411</v>
      </c>
      <c r="R121" s="19" t="s">
        <v>145</v>
      </c>
      <c r="S121" s="21" t="s">
        <v>514</v>
      </c>
      <c r="U121" s="46" t="s">
        <v>509</v>
      </c>
      <c r="V121" s="46" t="s">
        <v>509</v>
      </c>
      <c r="W121" s="21" t="s">
        <v>190</v>
      </c>
      <c r="X121" s="21" t="s">
        <v>509</v>
      </c>
      <c r="AA121" s="27" t="s">
        <v>408</v>
      </c>
      <c r="AB121" s="27" t="s">
        <v>409</v>
      </c>
      <c r="AC121" s="27" t="s">
        <v>209</v>
      </c>
      <c r="AD121" s="27" t="s">
        <v>508</v>
      </c>
      <c r="AE121" s="27" t="s">
        <v>411</v>
      </c>
      <c r="AF121" s="27" t="s">
        <v>145</v>
      </c>
      <c r="AG121" s="38" t="str">
        <f t="shared" ref="AG121:AG146" si="16">YEAR(AE121) &amp; RIGHT("0" &amp; MONTH(AE121), 2)</f>
        <v>202511</v>
      </c>
      <c r="AH121" s="46" t="s">
        <v>509</v>
      </c>
      <c r="AI121" s="46" t="s">
        <v>509</v>
      </c>
      <c r="AJ121" s="38" t="s">
        <v>190</v>
      </c>
      <c r="AK121" s="46" t="s">
        <v>509</v>
      </c>
      <c r="AM121" s="27" t="s">
        <v>408</v>
      </c>
      <c r="AN121" s="27" t="s">
        <v>409</v>
      </c>
      <c r="AO121" s="27" t="s">
        <v>209</v>
      </c>
      <c r="AP121" s="27" t="s">
        <v>508</v>
      </c>
      <c r="AQ121" s="27" t="s">
        <v>411</v>
      </c>
      <c r="AR121" s="38" t="str">
        <f t="shared" si="15"/>
        <v>202511</v>
      </c>
      <c r="AS121" s="46" t="s">
        <v>509</v>
      </c>
      <c r="AT121" s="46" t="s">
        <v>509</v>
      </c>
      <c r="AU121" s="38" t="s">
        <v>190</v>
      </c>
      <c r="AV121" s="46" t="s">
        <v>509</v>
      </c>
    </row>
    <row r="122" spans="1:48" x14ac:dyDescent="0.25">
      <c r="M122" s="19" t="s">
        <v>412</v>
      </c>
      <c r="N122" s="19" t="s">
        <v>413</v>
      </c>
      <c r="O122" s="19" t="s">
        <v>414</v>
      </c>
      <c r="P122" s="19" t="s">
        <v>415</v>
      </c>
      <c r="Q122" s="19" t="s">
        <v>416</v>
      </c>
      <c r="R122" s="19" t="s">
        <v>145</v>
      </c>
      <c r="S122" s="21" t="s">
        <v>514</v>
      </c>
      <c r="U122" s="46" t="s">
        <v>509</v>
      </c>
      <c r="V122" s="46" t="s">
        <v>509</v>
      </c>
      <c r="W122" s="21" t="s">
        <v>190</v>
      </c>
      <c r="X122" s="21" t="s">
        <v>509</v>
      </c>
      <c r="AA122" s="27" t="s">
        <v>412</v>
      </c>
      <c r="AB122" s="27" t="s">
        <v>413</v>
      </c>
      <c r="AC122" s="27" t="s">
        <v>414</v>
      </c>
      <c r="AD122" s="27" t="s">
        <v>415</v>
      </c>
      <c r="AE122" s="27" t="s">
        <v>416</v>
      </c>
      <c r="AF122" s="27" t="s">
        <v>145</v>
      </c>
      <c r="AG122" s="38" t="str">
        <f t="shared" si="16"/>
        <v>202511</v>
      </c>
      <c r="AH122" s="46" t="s">
        <v>509</v>
      </c>
      <c r="AI122" s="46" t="s">
        <v>509</v>
      </c>
      <c r="AJ122" s="38" t="s">
        <v>190</v>
      </c>
      <c r="AK122" s="46" t="s">
        <v>509</v>
      </c>
      <c r="AM122" s="27" t="s">
        <v>412</v>
      </c>
      <c r="AN122" s="27" t="s">
        <v>413</v>
      </c>
      <c r="AO122" s="27" t="s">
        <v>414</v>
      </c>
      <c r="AP122" s="27" t="s">
        <v>415</v>
      </c>
      <c r="AQ122" s="27" t="s">
        <v>416</v>
      </c>
      <c r="AR122" s="38" t="str">
        <f t="shared" si="15"/>
        <v>202511</v>
      </c>
      <c r="AS122" s="46" t="s">
        <v>509</v>
      </c>
      <c r="AT122" s="46" t="s">
        <v>509</v>
      </c>
      <c r="AU122" s="38" t="s">
        <v>190</v>
      </c>
      <c r="AV122" s="46" t="s">
        <v>509</v>
      </c>
    </row>
    <row r="123" spans="1:48" x14ac:dyDescent="0.25">
      <c r="M123" s="19" t="s">
        <v>412</v>
      </c>
      <c r="N123" s="19" t="s">
        <v>417</v>
      </c>
      <c r="O123" s="19" t="s">
        <v>414</v>
      </c>
      <c r="P123" s="19" t="s">
        <v>418</v>
      </c>
      <c r="Q123" s="19" t="s">
        <v>419</v>
      </c>
      <c r="R123" s="19" t="s">
        <v>145</v>
      </c>
      <c r="S123" s="21" t="s">
        <v>514</v>
      </c>
      <c r="U123" s="46" t="s">
        <v>509</v>
      </c>
      <c r="V123" s="46" t="s">
        <v>509</v>
      </c>
      <c r="W123" s="21" t="s">
        <v>190</v>
      </c>
      <c r="X123" s="21" t="s">
        <v>509</v>
      </c>
      <c r="AA123" s="27" t="s">
        <v>412</v>
      </c>
      <c r="AB123" s="27" t="s">
        <v>417</v>
      </c>
      <c r="AC123" s="27" t="s">
        <v>414</v>
      </c>
      <c r="AD123" s="27" t="s">
        <v>418</v>
      </c>
      <c r="AE123" s="27" t="s">
        <v>419</v>
      </c>
      <c r="AF123" s="27" t="s">
        <v>145</v>
      </c>
      <c r="AG123" s="38" t="str">
        <f t="shared" si="16"/>
        <v>202511</v>
      </c>
      <c r="AH123" s="46" t="s">
        <v>509</v>
      </c>
      <c r="AI123" s="46" t="s">
        <v>509</v>
      </c>
      <c r="AJ123" s="38" t="s">
        <v>190</v>
      </c>
      <c r="AK123" s="46" t="s">
        <v>509</v>
      </c>
      <c r="AM123" s="27" t="s">
        <v>412</v>
      </c>
      <c r="AN123" s="27" t="s">
        <v>417</v>
      </c>
      <c r="AO123" s="27" t="s">
        <v>414</v>
      </c>
      <c r="AP123" s="27" t="s">
        <v>418</v>
      </c>
      <c r="AQ123" s="27" t="s">
        <v>419</v>
      </c>
      <c r="AR123" s="38" t="str">
        <f t="shared" si="15"/>
        <v>202511</v>
      </c>
      <c r="AS123" s="46" t="s">
        <v>509</v>
      </c>
      <c r="AT123" s="46" t="s">
        <v>509</v>
      </c>
      <c r="AU123" s="38" t="s">
        <v>190</v>
      </c>
      <c r="AV123" s="46" t="s">
        <v>509</v>
      </c>
    </row>
    <row r="124" spans="1:48" x14ac:dyDescent="0.25">
      <c r="M124" s="19" t="s">
        <v>412</v>
      </c>
      <c r="N124" s="19" t="s">
        <v>420</v>
      </c>
      <c r="O124" s="19" t="s">
        <v>421</v>
      </c>
      <c r="P124" s="19" t="s">
        <v>422</v>
      </c>
      <c r="Q124" s="19" t="s">
        <v>419</v>
      </c>
      <c r="R124" s="19" t="s">
        <v>145</v>
      </c>
      <c r="S124" s="21" t="s">
        <v>514</v>
      </c>
      <c r="U124" s="46" t="s">
        <v>509</v>
      </c>
      <c r="V124" s="46" t="s">
        <v>509</v>
      </c>
      <c r="W124" s="21" t="s">
        <v>190</v>
      </c>
      <c r="X124" s="21" t="s">
        <v>509</v>
      </c>
      <c r="AA124" s="27" t="s">
        <v>412</v>
      </c>
      <c r="AB124" s="27" t="s">
        <v>420</v>
      </c>
      <c r="AC124" s="27" t="s">
        <v>421</v>
      </c>
      <c r="AD124" s="27" t="s">
        <v>422</v>
      </c>
      <c r="AE124" s="27" t="s">
        <v>419</v>
      </c>
      <c r="AF124" s="27" t="s">
        <v>145</v>
      </c>
      <c r="AG124" s="38" t="str">
        <f t="shared" si="16"/>
        <v>202511</v>
      </c>
      <c r="AH124" s="46" t="s">
        <v>509</v>
      </c>
      <c r="AI124" s="46" t="s">
        <v>509</v>
      </c>
      <c r="AJ124" s="38" t="s">
        <v>190</v>
      </c>
      <c r="AK124" s="46" t="s">
        <v>509</v>
      </c>
      <c r="AM124" s="27" t="s">
        <v>412</v>
      </c>
      <c r="AN124" s="27" t="s">
        <v>420</v>
      </c>
      <c r="AO124" s="27" t="s">
        <v>421</v>
      </c>
      <c r="AP124" s="27" t="s">
        <v>422</v>
      </c>
      <c r="AQ124" s="27" t="s">
        <v>419</v>
      </c>
      <c r="AR124" s="38" t="str">
        <f t="shared" si="15"/>
        <v>202511</v>
      </c>
      <c r="AS124" s="46" t="s">
        <v>509</v>
      </c>
      <c r="AT124" s="46" t="s">
        <v>509</v>
      </c>
      <c r="AU124" s="38" t="s">
        <v>190</v>
      </c>
      <c r="AV124" s="46" t="s">
        <v>509</v>
      </c>
    </row>
    <row r="125" spans="1:48" x14ac:dyDescent="0.25">
      <c r="M125" s="19" t="s">
        <v>423</v>
      </c>
      <c r="N125" s="19" t="s">
        <v>424</v>
      </c>
      <c r="O125" s="19" t="s">
        <v>425</v>
      </c>
      <c r="P125" s="19" t="s">
        <v>426</v>
      </c>
      <c r="Q125" s="19" t="s">
        <v>427</v>
      </c>
      <c r="R125" s="19" t="s">
        <v>145</v>
      </c>
      <c r="S125" s="21" t="s">
        <v>514</v>
      </c>
      <c r="U125" s="46" t="s">
        <v>509</v>
      </c>
      <c r="V125" s="46" t="s">
        <v>509</v>
      </c>
      <c r="W125" s="21" t="s">
        <v>190</v>
      </c>
      <c r="X125" s="21" t="s">
        <v>509</v>
      </c>
      <c r="AA125" s="27" t="s">
        <v>423</v>
      </c>
      <c r="AB125" s="27" t="s">
        <v>424</v>
      </c>
      <c r="AC125" s="27" t="s">
        <v>425</v>
      </c>
      <c r="AD125" s="27" t="s">
        <v>426</v>
      </c>
      <c r="AE125" s="27" t="s">
        <v>427</v>
      </c>
      <c r="AF125" s="27" t="s">
        <v>145</v>
      </c>
      <c r="AG125" s="38" t="str">
        <f t="shared" si="16"/>
        <v>202511</v>
      </c>
      <c r="AH125" s="46" t="s">
        <v>509</v>
      </c>
      <c r="AI125" s="46" t="s">
        <v>509</v>
      </c>
      <c r="AJ125" s="38" t="s">
        <v>190</v>
      </c>
      <c r="AK125" s="46" t="s">
        <v>509</v>
      </c>
      <c r="AM125" s="27" t="s">
        <v>423</v>
      </c>
      <c r="AN125" s="27" t="s">
        <v>424</v>
      </c>
      <c r="AO125" s="27" t="s">
        <v>425</v>
      </c>
      <c r="AP125" s="27" t="s">
        <v>426</v>
      </c>
      <c r="AQ125" s="27" t="s">
        <v>427</v>
      </c>
      <c r="AR125" s="38" t="str">
        <f t="shared" si="15"/>
        <v>202511</v>
      </c>
      <c r="AS125" s="46" t="s">
        <v>509</v>
      </c>
      <c r="AT125" s="46" t="s">
        <v>509</v>
      </c>
      <c r="AU125" s="38" t="s">
        <v>190</v>
      </c>
      <c r="AV125" s="46" t="s">
        <v>509</v>
      </c>
    </row>
    <row r="126" spans="1:48" x14ac:dyDescent="0.25">
      <c r="M126" s="19" t="s">
        <v>428</v>
      </c>
      <c r="N126" s="19" t="s">
        <v>429</v>
      </c>
      <c r="O126" s="19" t="s">
        <v>425</v>
      </c>
      <c r="P126" s="19" t="s">
        <v>430</v>
      </c>
      <c r="Q126" s="19" t="s">
        <v>427</v>
      </c>
      <c r="R126" s="19" t="s">
        <v>145</v>
      </c>
      <c r="S126" s="21" t="s">
        <v>514</v>
      </c>
      <c r="U126" s="46" t="s">
        <v>509</v>
      </c>
      <c r="V126" s="46" t="s">
        <v>509</v>
      </c>
      <c r="W126" s="21" t="s">
        <v>190</v>
      </c>
      <c r="X126" s="21" t="s">
        <v>509</v>
      </c>
      <c r="AA126" s="27" t="s">
        <v>428</v>
      </c>
      <c r="AB126" s="27" t="s">
        <v>429</v>
      </c>
      <c r="AC126" s="27" t="s">
        <v>425</v>
      </c>
      <c r="AD126" s="27" t="s">
        <v>430</v>
      </c>
      <c r="AE126" s="27" t="s">
        <v>427</v>
      </c>
      <c r="AF126" s="27" t="s">
        <v>145</v>
      </c>
      <c r="AG126" s="38" t="str">
        <f t="shared" si="16"/>
        <v>202511</v>
      </c>
      <c r="AH126" s="46" t="s">
        <v>509</v>
      </c>
      <c r="AI126" s="46" t="s">
        <v>509</v>
      </c>
      <c r="AJ126" s="38" t="s">
        <v>190</v>
      </c>
      <c r="AK126" s="46" t="s">
        <v>509</v>
      </c>
      <c r="AM126" s="27" t="s">
        <v>428</v>
      </c>
      <c r="AN126" s="27" t="s">
        <v>429</v>
      </c>
      <c r="AO126" s="27" t="s">
        <v>425</v>
      </c>
      <c r="AP126" s="27" t="s">
        <v>430</v>
      </c>
      <c r="AQ126" s="27" t="s">
        <v>427</v>
      </c>
      <c r="AR126" s="38" t="str">
        <f t="shared" si="15"/>
        <v>202511</v>
      </c>
      <c r="AS126" s="46" t="s">
        <v>509</v>
      </c>
      <c r="AT126" s="46" t="s">
        <v>509</v>
      </c>
      <c r="AU126" s="38" t="s">
        <v>190</v>
      </c>
      <c r="AV126" s="46" t="s">
        <v>509</v>
      </c>
    </row>
    <row r="127" spans="1:48" x14ac:dyDescent="0.25">
      <c r="M127" s="19" t="s">
        <v>428</v>
      </c>
      <c r="N127" s="19" t="s">
        <v>431</v>
      </c>
      <c r="O127" s="19" t="s">
        <v>425</v>
      </c>
      <c r="P127" s="19" t="s">
        <v>432</v>
      </c>
      <c r="Q127" s="19" t="s">
        <v>427</v>
      </c>
      <c r="R127" s="19" t="s">
        <v>145</v>
      </c>
      <c r="S127" s="21" t="s">
        <v>514</v>
      </c>
      <c r="U127" s="46" t="s">
        <v>509</v>
      </c>
      <c r="V127" s="46" t="s">
        <v>509</v>
      </c>
      <c r="W127" s="21" t="s">
        <v>190</v>
      </c>
      <c r="X127" s="21" t="s">
        <v>509</v>
      </c>
      <c r="AA127" s="27" t="s">
        <v>428</v>
      </c>
      <c r="AB127" s="27" t="s">
        <v>431</v>
      </c>
      <c r="AC127" s="27" t="s">
        <v>425</v>
      </c>
      <c r="AD127" s="27" t="s">
        <v>432</v>
      </c>
      <c r="AE127" s="27" t="s">
        <v>427</v>
      </c>
      <c r="AF127" s="27" t="s">
        <v>145</v>
      </c>
      <c r="AG127" s="38" t="str">
        <f t="shared" si="16"/>
        <v>202511</v>
      </c>
      <c r="AH127" s="46" t="s">
        <v>509</v>
      </c>
      <c r="AI127" s="46" t="s">
        <v>509</v>
      </c>
      <c r="AJ127" s="38" t="s">
        <v>190</v>
      </c>
      <c r="AK127" s="46" t="s">
        <v>509</v>
      </c>
      <c r="AM127" s="27" t="s">
        <v>428</v>
      </c>
      <c r="AN127" s="27" t="s">
        <v>431</v>
      </c>
      <c r="AO127" s="27" t="s">
        <v>425</v>
      </c>
      <c r="AP127" s="27" t="s">
        <v>432</v>
      </c>
      <c r="AQ127" s="27" t="s">
        <v>427</v>
      </c>
      <c r="AR127" s="38" t="str">
        <f t="shared" si="15"/>
        <v>202511</v>
      </c>
      <c r="AS127" s="46" t="s">
        <v>509</v>
      </c>
      <c r="AT127" s="46" t="s">
        <v>509</v>
      </c>
      <c r="AU127" s="38" t="s">
        <v>190</v>
      </c>
      <c r="AV127" s="46" t="s">
        <v>509</v>
      </c>
    </row>
    <row r="128" spans="1:48" x14ac:dyDescent="0.25">
      <c r="M128" s="19" t="s">
        <v>433</v>
      </c>
      <c r="N128" s="19" t="s">
        <v>434</v>
      </c>
      <c r="O128" s="19" t="s">
        <v>425</v>
      </c>
      <c r="P128" s="19" t="s">
        <v>435</v>
      </c>
      <c r="Q128" s="19" t="s">
        <v>427</v>
      </c>
      <c r="R128" s="19" t="s">
        <v>145</v>
      </c>
      <c r="S128" s="21" t="s">
        <v>514</v>
      </c>
      <c r="U128" s="46" t="s">
        <v>509</v>
      </c>
      <c r="V128" s="46" t="s">
        <v>509</v>
      </c>
      <c r="W128" s="21" t="s">
        <v>190</v>
      </c>
      <c r="X128" s="21" t="s">
        <v>509</v>
      </c>
      <c r="AA128" s="27" t="s">
        <v>433</v>
      </c>
      <c r="AB128" s="27" t="s">
        <v>434</v>
      </c>
      <c r="AC128" s="27" t="s">
        <v>425</v>
      </c>
      <c r="AD128" s="27" t="s">
        <v>435</v>
      </c>
      <c r="AE128" s="27" t="s">
        <v>427</v>
      </c>
      <c r="AF128" s="27" t="s">
        <v>145</v>
      </c>
      <c r="AG128" s="38" t="str">
        <f t="shared" si="16"/>
        <v>202511</v>
      </c>
      <c r="AH128" s="46" t="s">
        <v>509</v>
      </c>
      <c r="AI128" s="46" t="s">
        <v>509</v>
      </c>
      <c r="AJ128" s="38" t="s">
        <v>190</v>
      </c>
      <c r="AK128" s="46" t="s">
        <v>509</v>
      </c>
      <c r="AM128" s="27" t="s">
        <v>433</v>
      </c>
      <c r="AN128" s="27" t="s">
        <v>434</v>
      </c>
      <c r="AO128" s="27" t="s">
        <v>425</v>
      </c>
      <c r="AP128" s="27" t="s">
        <v>435</v>
      </c>
      <c r="AQ128" s="27" t="s">
        <v>427</v>
      </c>
      <c r="AR128" s="38" t="str">
        <f t="shared" si="15"/>
        <v>202511</v>
      </c>
      <c r="AS128" s="46" t="s">
        <v>509</v>
      </c>
      <c r="AT128" s="46" t="s">
        <v>509</v>
      </c>
      <c r="AU128" s="38" t="s">
        <v>190</v>
      </c>
      <c r="AV128" s="46" t="s">
        <v>509</v>
      </c>
    </row>
    <row r="129" spans="13:48" x14ac:dyDescent="0.25">
      <c r="M129" s="19" t="s">
        <v>438</v>
      </c>
      <c r="N129" s="19" t="s">
        <v>439</v>
      </c>
      <c r="O129" s="19" t="s">
        <v>212</v>
      </c>
      <c r="P129" s="19" t="s">
        <v>440</v>
      </c>
      <c r="Q129" s="19" t="s">
        <v>441</v>
      </c>
      <c r="R129" s="19" t="s">
        <v>145</v>
      </c>
      <c r="S129" s="21" t="s">
        <v>514</v>
      </c>
      <c r="U129" s="46" t="s">
        <v>509</v>
      </c>
      <c r="V129" s="46" t="s">
        <v>509</v>
      </c>
      <c r="W129" s="21" t="s">
        <v>190</v>
      </c>
      <c r="X129" s="21" t="s">
        <v>509</v>
      </c>
      <c r="AA129" s="27" t="s">
        <v>438</v>
      </c>
      <c r="AB129" s="27" t="s">
        <v>439</v>
      </c>
      <c r="AC129" s="27" t="s">
        <v>212</v>
      </c>
      <c r="AD129" s="27" t="s">
        <v>440</v>
      </c>
      <c r="AE129" s="27" t="s">
        <v>441</v>
      </c>
      <c r="AF129" s="27" t="s">
        <v>145</v>
      </c>
      <c r="AG129" s="38" t="str">
        <f t="shared" si="16"/>
        <v>202511</v>
      </c>
      <c r="AH129" s="46" t="s">
        <v>509</v>
      </c>
      <c r="AI129" s="46" t="s">
        <v>509</v>
      </c>
      <c r="AJ129" s="38" t="s">
        <v>190</v>
      </c>
      <c r="AK129" s="46" t="s">
        <v>509</v>
      </c>
      <c r="AM129" s="27" t="s">
        <v>438</v>
      </c>
      <c r="AN129" s="27" t="s">
        <v>439</v>
      </c>
      <c r="AO129" s="27" t="s">
        <v>212</v>
      </c>
      <c r="AP129" s="27" t="s">
        <v>440</v>
      </c>
      <c r="AQ129" s="27" t="s">
        <v>441</v>
      </c>
      <c r="AR129" s="38" t="str">
        <f t="shared" si="15"/>
        <v>202511</v>
      </c>
      <c r="AS129" s="46" t="s">
        <v>509</v>
      </c>
      <c r="AT129" s="46" t="s">
        <v>509</v>
      </c>
      <c r="AU129" s="38" t="s">
        <v>190</v>
      </c>
      <c r="AV129" s="46" t="s">
        <v>509</v>
      </c>
    </row>
    <row r="130" spans="13:48" x14ac:dyDescent="0.25">
      <c r="M130" s="19" t="s">
        <v>443</v>
      </c>
      <c r="N130" s="19" t="s">
        <v>444</v>
      </c>
      <c r="O130" s="19" t="s">
        <v>212</v>
      </c>
      <c r="P130" s="19" t="s">
        <v>445</v>
      </c>
      <c r="Q130" s="19" t="s">
        <v>446</v>
      </c>
      <c r="R130" s="19" t="s">
        <v>145</v>
      </c>
      <c r="S130" s="21" t="s">
        <v>514</v>
      </c>
      <c r="U130" s="46" t="s">
        <v>509</v>
      </c>
      <c r="V130" s="46" t="s">
        <v>509</v>
      </c>
      <c r="W130" s="21" t="s">
        <v>190</v>
      </c>
      <c r="X130" s="21" t="s">
        <v>509</v>
      </c>
      <c r="AA130" s="27" t="s">
        <v>443</v>
      </c>
      <c r="AB130" s="27" t="s">
        <v>444</v>
      </c>
      <c r="AC130" s="27" t="s">
        <v>212</v>
      </c>
      <c r="AD130" s="27" t="s">
        <v>445</v>
      </c>
      <c r="AE130" s="27" t="s">
        <v>446</v>
      </c>
      <c r="AF130" s="27" t="s">
        <v>145</v>
      </c>
      <c r="AG130" s="38" t="str">
        <f t="shared" si="16"/>
        <v>202511</v>
      </c>
      <c r="AH130" s="46" t="s">
        <v>509</v>
      </c>
      <c r="AI130" s="46" t="s">
        <v>509</v>
      </c>
      <c r="AJ130" s="38" t="s">
        <v>190</v>
      </c>
      <c r="AK130" s="46" t="s">
        <v>509</v>
      </c>
      <c r="AM130" s="27" t="s">
        <v>443</v>
      </c>
      <c r="AN130" s="27" t="s">
        <v>444</v>
      </c>
      <c r="AO130" s="27" t="s">
        <v>212</v>
      </c>
      <c r="AP130" s="27" t="s">
        <v>445</v>
      </c>
      <c r="AQ130" s="27" t="s">
        <v>446</v>
      </c>
      <c r="AR130" s="38" t="str">
        <f t="shared" si="15"/>
        <v>202511</v>
      </c>
      <c r="AS130" s="46" t="s">
        <v>509</v>
      </c>
      <c r="AT130" s="46" t="s">
        <v>509</v>
      </c>
      <c r="AU130" s="38" t="s">
        <v>190</v>
      </c>
      <c r="AV130" s="46" t="s">
        <v>509</v>
      </c>
    </row>
    <row r="131" spans="13:48" x14ac:dyDescent="0.25">
      <c r="M131" s="19" t="s">
        <v>447</v>
      </c>
      <c r="N131" s="19" t="s">
        <v>448</v>
      </c>
      <c r="O131" s="19" t="s">
        <v>449</v>
      </c>
      <c r="P131" s="19" t="s">
        <v>450</v>
      </c>
      <c r="Q131" s="19" t="s">
        <v>451</v>
      </c>
      <c r="R131" s="19" t="s">
        <v>145</v>
      </c>
      <c r="S131" s="21" t="s">
        <v>514</v>
      </c>
      <c r="U131" s="46" t="s">
        <v>509</v>
      </c>
      <c r="V131" s="46" t="s">
        <v>509</v>
      </c>
      <c r="W131" s="21" t="s">
        <v>190</v>
      </c>
      <c r="X131" s="21" t="s">
        <v>509</v>
      </c>
      <c r="AA131" s="27" t="s">
        <v>447</v>
      </c>
      <c r="AB131" s="27" t="s">
        <v>448</v>
      </c>
      <c r="AC131" s="27" t="s">
        <v>449</v>
      </c>
      <c r="AD131" s="27" t="s">
        <v>450</v>
      </c>
      <c r="AE131" s="27" t="s">
        <v>451</v>
      </c>
      <c r="AF131" s="27" t="s">
        <v>145</v>
      </c>
      <c r="AG131" s="38" t="str">
        <f t="shared" si="16"/>
        <v>202511</v>
      </c>
      <c r="AH131" s="46" t="s">
        <v>509</v>
      </c>
      <c r="AI131" s="46" t="s">
        <v>509</v>
      </c>
      <c r="AJ131" s="38" t="s">
        <v>190</v>
      </c>
      <c r="AK131" s="46" t="s">
        <v>509</v>
      </c>
      <c r="AM131" s="27" t="s">
        <v>447</v>
      </c>
      <c r="AN131" s="27" t="s">
        <v>448</v>
      </c>
      <c r="AO131" s="27" t="s">
        <v>449</v>
      </c>
      <c r="AP131" s="27" t="s">
        <v>450</v>
      </c>
      <c r="AQ131" s="27" t="s">
        <v>451</v>
      </c>
      <c r="AR131" s="38" t="str">
        <f t="shared" si="15"/>
        <v>202511</v>
      </c>
      <c r="AS131" s="46" t="s">
        <v>509</v>
      </c>
      <c r="AT131" s="46" t="s">
        <v>509</v>
      </c>
      <c r="AU131" s="38" t="s">
        <v>190</v>
      </c>
      <c r="AV131" s="46" t="s">
        <v>509</v>
      </c>
    </row>
    <row r="132" spans="13:48" x14ac:dyDescent="0.25">
      <c r="M132" s="19" t="s">
        <v>452</v>
      </c>
      <c r="N132" s="19" t="s">
        <v>453</v>
      </c>
      <c r="O132" s="19" t="s">
        <v>349</v>
      </c>
      <c r="P132" s="19" t="s">
        <v>454</v>
      </c>
      <c r="Q132" s="19" t="s">
        <v>455</v>
      </c>
      <c r="R132" s="19" t="s">
        <v>145</v>
      </c>
      <c r="S132" s="21" t="s">
        <v>514</v>
      </c>
      <c r="U132" s="46" t="s">
        <v>509</v>
      </c>
      <c r="V132" s="46" t="s">
        <v>509</v>
      </c>
      <c r="W132" s="21" t="s">
        <v>190</v>
      </c>
      <c r="X132" s="21" t="s">
        <v>509</v>
      </c>
      <c r="AA132" s="27" t="s">
        <v>452</v>
      </c>
      <c r="AB132" s="27" t="s">
        <v>453</v>
      </c>
      <c r="AC132" s="27" t="s">
        <v>349</v>
      </c>
      <c r="AD132" s="27" t="s">
        <v>454</v>
      </c>
      <c r="AE132" s="27" t="s">
        <v>455</v>
      </c>
      <c r="AF132" s="27" t="s">
        <v>145</v>
      </c>
      <c r="AG132" s="38" t="str">
        <f t="shared" si="16"/>
        <v>202511</v>
      </c>
      <c r="AH132" s="46" t="s">
        <v>509</v>
      </c>
      <c r="AI132" s="46" t="s">
        <v>509</v>
      </c>
      <c r="AJ132" s="38" t="s">
        <v>190</v>
      </c>
      <c r="AK132" s="46" t="s">
        <v>509</v>
      </c>
      <c r="AM132" s="27" t="s">
        <v>452</v>
      </c>
      <c r="AN132" s="27" t="s">
        <v>453</v>
      </c>
      <c r="AO132" s="27" t="s">
        <v>349</v>
      </c>
      <c r="AP132" s="27" t="s">
        <v>454</v>
      </c>
      <c r="AQ132" s="27" t="s">
        <v>455</v>
      </c>
      <c r="AR132" s="38" t="str">
        <f t="shared" si="15"/>
        <v>202511</v>
      </c>
      <c r="AS132" s="46" t="s">
        <v>509</v>
      </c>
      <c r="AT132" s="46" t="s">
        <v>509</v>
      </c>
      <c r="AU132" s="38" t="s">
        <v>190</v>
      </c>
      <c r="AV132" s="46" t="s">
        <v>509</v>
      </c>
    </row>
    <row r="133" spans="13:48" x14ac:dyDescent="0.25">
      <c r="M133" s="19" t="s">
        <v>456</v>
      </c>
      <c r="N133" s="19" t="s">
        <v>457</v>
      </c>
      <c r="O133" s="19" t="s">
        <v>425</v>
      </c>
      <c r="P133" s="19" t="s">
        <v>458</v>
      </c>
      <c r="Q133" s="19" t="s">
        <v>459</v>
      </c>
      <c r="R133" s="19" t="s">
        <v>145</v>
      </c>
      <c r="S133" s="21" t="s">
        <v>514</v>
      </c>
      <c r="U133" s="46" t="s">
        <v>509</v>
      </c>
      <c r="V133" s="46" t="s">
        <v>509</v>
      </c>
      <c r="W133" s="21" t="s">
        <v>190</v>
      </c>
      <c r="X133" s="21" t="s">
        <v>509</v>
      </c>
      <c r="AA133" s="27" t="s">
        <v>456</v>
      </c>
      <c r="AB133" s="27" t="s">
        <v>457</v>
      </c>
      <c r="AC133" s="27" t="s">
        <v>425</v>
      </c>
      <c r="AD133" s="27" t="s">
        <v>458</v>
      </c>
      <c r="AE133" s="27" t="s">
        <v>459</v>
      </c>
      <c r="AF133" s="27" t="s">
        <v>145</v>
      </c>
      <c r="AG133" s="38" t="str">
        <f t="shared" si="16"/>
        <v>202511</v>
      </c>
      <c r="AH133" s="46" t="s">
        <v>509</v>
      </c>
      <c r="AI133" s="46" t="s">
        <v>509</v>
      </c>
      <c r="AJ133" s="38" t="s">
        <v>190</v>
      </c>
      <c r="AK133" s="46" t="s">
        <v>509</v>
      </c>
      <c r="AM133" s="27" t="s">
        <v>456</v>
      </c>
      <c r="AN133" s="27" t="s">
        <v>457</v>
      </c>
      <c r="AO133" s="27" t="s">
        <v>425</v>
      </c>
      <c r="AP133" s="27" t="s">
        <v>458</v>
      </c>
      <c r="AQ133" s="27" t="s">
        <v>459</v>
      </c>
      <c r="AR133" s="38" t="str">
        <f t="shared" si="15"/>
        <v>202511</v>
      </c>
      <c r="AS133" s="46" t="s">
        <v>509</v>
      </c>
      <c r="AT133" s="46" t="s">
        <v>509</v>
      </c>
      <c r="AU133" s="38" t="s">
        <v>190</v>
      </c>
      <c r="AV133" s="46" t="s">
        <v>509</v>
      </c>
    </row>
    <row r="134" spans="13:48" x14ac:dyDescent="0.25">
      <c r="M134" s="19" t="s">
        <v>460</v>
      </c>
      <c r="N134" s="19" t="s">
        <v>461</v>
      </c>
      <c r="O134" s="19" t="s">
        <v>425</v>
      </c>
      <c r="P134" s="19" t="s">
        <v>462</v>
      </c>
      <c r="Q134" s="19" t="s">
        <v>463</v>
      </c>
      <c r="R134" s="19" t="s">
        <v>145</v>
      </c>
      <c r="S134" s="21" t="s">
        <v>514</v>
      </c>
      <c r="U134" s="46" t="s">
        <v>509</v>
      </c>
      <c r="V134" s="46" t="s">
        <v>509</v>
      </c>
      <c r="W134" s="21" t="s">
        <v>190</v>
      </c>
      <c r="X134" s="21" t="s">
        <v>509</v>
      </c>
      <c r="AA134" s="27" t="s">
        <v>460</v>
      </c>
      <c r="AB134" s="27" t="s">
        <v>461</v>
      </c>
      <c r="AC134" s="27" t="s">
        <v>425</v>
      </c>
      <c r="AD134" s="27" t="s">
        <v>462</v>
      </c>
      <c r="AE134" s="27" t="s">
        <v>463</v>
      </c>
      <c r="AF134" s="27" t="s">
        <v>145</v>
      </c>
      <c r="AG134" s="38" t="str">
        <f t="shared" si="16"/>
        <v>202511</v>
      </c>
      <c r="AH134" s="46" t="s">
        <v>509</v>
      </c>
      <c r="AI134" s="46" t="s">
        <v>509</v>
      </c>
      <c r="AJ134" s="38" t="s">
        <v>190</v>
      </c>
      <c r="AK134" s="46" t="s">
        <v>509</v>
      </c>
      <c r="AM134" s="27" t="s">
        <v>460</v>
      </c>
      <c r="AN134" s="27" t="s">
        <v>461</v>
      </c>
      <c r="AO134" s="27" t="s">
        <v>425</v>
      </c>
      <c r="AP134" s="27" t="s">
        <v>462</v>
      </c>
      <c r="AQ134" s="27" t="s">
        <v>463</v>
      </c>
      <c r="AR134" s="38" t="str">
        <f t="shared" si="15"/>
        <v>202511</v>
      </c>
      <c r="AS134" s="46" t="s">
        <v>509</v>
      </c>
      <c r="AT134" s="46" t="s">
        <v>509</v>
      </c>
      <c r="AU134" s="38" t="s">
        <v>190</v>
      </c>
      <c r="AV134" s="46" t="s">
        <v>509</v>
      </c>
    </row>
    <row r="135" spans="13:48" x14ac:dyDescent="0.25">
      <c r="M135" s="19" t="s">
        <v>460</v>
      </c>
      <c r="N135" s="19" t="s">
        <v>464</v>
      </c>
      <c r="O135" s="19" t="s">
        <v>209</v>
      </c>
      <c r="P135" s="19" t="s">
        <v>465</v>
      </c>
      <c r="Q135" s="19" t="s">
        <v>466</v>
      </c>
      <c r="R135" s="19" t="s">
        <v>145</v>
      </c>
      <c r="S135" s="21" t="s">
        <v>514</v>
      </c>
      <c r="U135" s="46" t="s">
        <v>509</v>
      </c>
      <c r="V135" s="46" t="s">
        <v>509</v>
      </c>
      <c r="W135" s="21" t="s">
        <v>190</v>
      </c>
      <c r="X135" s="21" t="s">
        <v>509</v>
      </c>
      <c r="AA135" s="27" t="s">
        <v>460</v>
      </c>
      <c r="AB135" s="27" t="s">
        <v>464</v>
      </c>
      <c r="AC135" s="27" t="s">
        <v>209</v>
      </c>
      <c r="AD135" s="27" t="s">
        <v>465</v>
      </c>
      <c r="AE135" s="27" t="s">
        <v>466</v>
      </c>
      <c r="AF135" s="27" t="s">
        <v>145</v>
      </c>
      <c r="AG135" s="38" t="str">
        <f t="shared" si="16"/>
        <v>202511</v>
      </c>
      <c r="AH135" s="46" t="s">
        <v>509</v>
      </c>
      <c r="AI135" s="46" t="s">
        <v>509</v>
      </c>
      <c r="AJ135" s="38" t="s">
        <v>190</v>
      </c>
      <c r="AK135" s="46" t="s">
        <v>509</v>
      </c>
      <c r="AM135" s="27" t="s">
        <v>460</v>
      </c>
      <c r="AN135" s="27" t="s">
        <v>464</v>
      </c>
      <c r="AO135" s="27" t="s">
        <v>209</v>
      </c>
      <c r="AP135" s="27" t="s">
        <v>465</v>
      </c>
      <c r="AQ135" s="27" t="s">
        <v>466</v>
      </c>
      <c r="AR135" s="38" t="str">
        <f t="shared" si="15"/>
        <v>202511</v>
      </c>
      <c r="AS135" s="46" t="s">
        <v>509</v>
      </c>
      <c r="AT135" s="46" t="s">
        <v>509</v>
      </c>
      <c r="AU135" s="38" t="s">
        <v>190</v>
      </c>
      <c r="AV135" s="46" t="s">
        <v>509</v>
      </c>
    </row>
    <row r="136" spans="13:48" x14ac:dyDescent="0.25">
      <c r="M136" s="19" t="s">
        <v>467</v>
      </c>
      <c r="N136" s="19" t="s">
        <v>468</v>
      </c>
      <c r="O136" s="19" t="s">
        <v>212</v>
      </c>
      <c r="P136" s="19" t="s">
        <v>469</v>
      </c>
      <c r="Q136" s="19" t="s">
        <v>470</v>
      </c>
      <c r="R136" s="19" t="s">
        <v>145</v>
      </c>
      <c r="S136" s="21" t="s">
        <v>514</v>
      </c>
      <c r="U136" s="46" t="s">
        <v>509</v>
      </c>
      <c r="V136" s="46" t="s">
        <v>509</v>
      </c>
      <c r="W136" s="21" t="s">
        <v>190</v>
      </c>
      <c r="X136" s="21" t="s">
        <v>509</v>
      </c>
      <c r="AA136" s="27" t="s">
        <v>467</v>
      </c>
      <c r="AB136" s="27" t="s">
        <v>468</v>
      </c>
      <c r="AC136" s="27" t="s">
        <v>212</v>
      </c>
      <c r="AD136" s="27" t="s">
        <v>469</v>
      </c>
      <c r="AE136" s="27" t="s">
        <v>470</v>
      </c>
      <c r="AF136" s="27" t="s">
        <v>145</v>
      </c>
      <c r="AG136" s="38" t="str">
        <f t="shared" si="16"/>
        <v>202511</v>
      </c>
      <c r="AH136" s="46" t="s">
        <v>509</v>
      </c>
      <c r="AI136" s="46" t="s">
        <v>509</v>
      </c>
      <c r="AJ136" s="38" t="s">
        <v>190</v>
      </c>
      <c r="AK136" s="46" t="s">
        <v>509</v>
      </c>
      <c r="AM136" s="27" t="s">
        <v>467</v>
      </c>
      <c r="AN136" s="27" t="s">
        <v>468</v>
      </c>
      <c r="AO136" s="27" t="s">
        <v>212</v>
      </c>
      <c r="AP136" s="27" t="s">
        <v>469</v>
      </c>
      <c r="AQ136" s="27" t="s">
        <v>470</v>
      </c>
      <c r="AR136" s="38" t="str">
        <f t="shared" si="15"/>
        <v>202511</v>
      </c>
      <c r="AS136" s="46" t="s">
        <v>509</v>
      </c>
      <c r="AT136" s="46" t="s">
        <v>509</v>
      </c>
      <c r="AU136" s="38" t="s">
        <v>190</v>
      </c>
      <c r="AV136" s="46" t="s">
        <v>509</v>
      </c>
    </row>
    <row r="137" spans="13:48" x14ac:dyDescent="0.25">
      <c r="M137" s="19" t="s">
        <v>472</v>
      </c>
      <c r="N137" s="19" t="s">
        <v>473</v>
      </c>
      <c r="O137" s="19" t="s">
        <v>212</v>
      </c>
      <c r="P137" s="19" t="s">
        <v>474</v>
      </c>
      <c r="Q137" s="19" t="s">
        <v>475</v>
      </c>
      <c r="R137" s="19" t="s">
        <v>145</v>
      </c>
      <c r="S137" s="21" t="s">
        <v>514</v>
      </c>
      <c r="U137" s="46" t="s">
        <v>509</v>
      </c>
      <c r="V137" s="46" t="s">
        <v>509</v>
      </c>
      <c r="W137" s="21" t="s">
        <v>190</v>
      </c>
      <c r="X137" s="21" t="s">
        <v>509</v>
      </c>
      <c r="AA137" s="27" t="s">
        <v>472</v>
      </c>
      <c r="AB137" s="27" t="s">
        <v>473</v>
      </c>
      <c r="AC137" s="27" t="s">
        <v>212</v>
      </c>
      <c r="AD137" s="27" t="s">
        <v>474</v>
      </c>
      <c r="AE137" s="27" t="s">
        <v>475</v>
      </c>
      <c r="AF137" s="27" t="s">
        <v>145</v>
      </c>
      <c r="AG137" s="38" t="str">
        <f t="shared" si="16"/>
        <v>202511</v>
      </c>
      <c r="AH137" s="46" t="s">
        <v>509</v>
      </c>
      <c r="AI137" s="46" t="s">
        <v>509</v>
      </c>
      <c r="AJ137" s="38" t="s">
        <v>190</v>
      </c>
      <c r="AK137" s="46" t="s">
        <v>509</v>
      </c>
      <c r="AM137" s="27" t="s">
        <v>472</v>
      </c>
      <c r="AN137" s="27" t="s">
        <v>473</v>
      </c>
      <c r="AO137" s="27" t="s">
        <v>212</v>
      </c>
      <c r="AP137" s="27" t="s">
        <v>474</v>
      </c>
      <c r="AQ137" s="27" t="s">
        <v>475</v>
      </c>
      <c r="AR137" s="38" t="str">
        <f t="shared" si="15"/>
        <v>202511</v>
      </c>
      <c r="AS137" s="46" t="s">
        <v>509</v>
      </c>
      <c r="AT137" s="46" t="s">
        <v>509</v>
      </c>
      <c r="AU137" s="38" t="s">
        <v>190</v>
      </c>
      <c r="AV137" s="46" t="s">
        <v>509</v>
      </c>
    </row>
    <row r="138" spans="13:48" x14ac:dyDescent="0.25">
      <c r="M138" s="19" t="s">
        <v>477</v>
      </c>
      <c r="N138" s="19" t="s">
        <v>478</v>
      </c>
      <c r="O138" s="19" t="s">
        <v>212</v>
      </c>
      <c r="P138" s="19" t="s">
        <v>479</v>
      </c>
      <c r="Q138" s="19" t="s">
        <v>475</v>
      </c>
      <c r="R138" s="19" t="s">
        <v>145</v>
      </c>
      <c r="S138" s="21" t="s">
        <v>514</v>
      </c>
      <c r="U138" s="46" t="s">
        <v>509</v>
      </c>
      <c r="V138" s="46" t="s">
        <v>509</v>
      </c>
      <c r="W138" s="21" t="s">
        <v>190</v>
      </c>
      <c r="X138" s="21" t="s">
        <v>509</v>
      </c>
      <c r="AA138" s="27" t="s">
        <v>477</v>
      </c>
      <c r="AB138" s="27" t="s">
        <v>478</v>
      </c>
      <c r="AC138" s="27" t="s">
        <v>212</v>
      </c>
      <c r="AD138" s="27" t="s">
        <v>479</v>
      </c>
      <c r="AE138" s="27" t="s">
        <v>475</v>
      </c>
      <c r="AF138" s="27" t="s">
        <v>145</v>
      </c>
      <c r="AG138" s="38" t="str">
        <f t="shared" si="16"/>
        <v>202511</v>
      </c>
      <c r="AH138" s="46" t="s">
        <v>509</v>
      </c>
      <c r="AI138" s="46" t="s">
        <v>509</v>
      </c>
      <c r="AJ138" s="38" t="s">
        <v>190</v>
      </c>
      <c r="AK138" s="46" t="s">
        <v>509</v>
      </c>
      <c r="AM138" s="27" t="s">
        <v>477</v>
      </c>
      <c r="AN138" s="27" t="s">
        <v>478</v>
      </c>
      <c r="AO138" s="27" t="s">
        <v>212</v>
      </c>
      <c r="AP138" s="27" t="s">
        <v>479</v>
      </c>
      <c r="AQ138" s="27" t="s">
        <v>475</v>
      </c>
      <c r="AR138" s="38" t="str">
        <f t="shared" si="15"/>
        <v>202511</v>
      </c>
      <c r="AS138" s="46" t="s">
        <v>509</v>
      </c>
      <c r="AT138" s="46" t="s">
        <v>509</v>
      </c>
      <c r="AU138" s="38" t="s">
        <v>190</v>
      </c>
      <c r="AV138" s="46" t="s">
        <v>509</v>
      </c>
    </row>
    <row r="139" spans="13:48" x14ac:dyDescent="0.25">
      <c r="M139" s="19" t="s">
        <v>510</v>
      </c>
      <c r="N139" s="19" t="s">
        <v>511</v>
      </c>
      <c r="O139" s="19" t="s">
        <v>425</v>
      </c>
      <c r="P139" s="19" t="s">
        <v>512</v>
      </c>
      <c r="Q139" s="19" t="s">
        <v>212</v>
      </c>
      <c r="R139" s="19" t="s">
        <v>145</v>
      </c>
      <c r="S139" s="21" t="s">
        <v>514</v>
      </c>
      <c r="U139" s="46" t="s">
        <v>509</v>
      </c>
      <c r="V139" s="46" t="s">
        <v>509</v>
      </c>
      <c r="W139" s="21" t="s">
        <v>190</v>
      </c>
      <c r="X139" s="21" t="s">
        <v>509</v>
      </c>
      <c r="AA139" s="27" t="s">
        <v>510</v>
      </c>
      <c r="AB139" s="27" t="s">
        <v>511</v>
      </c>
      <c r="AC139" s="27" t="s">
        <v>425</v>
      </c>
      <c r="AD139" s="27" t="s">
        <v>512</v>
      </c>
      <c r="AE139" s="27" t="s">
        <v>212</v>
      </c>
      <c r="AF139" s="27" t="s">
        <v>145</v>
      </c>
      <c r="AG139" s="38" t="str">
        <f t="shared" si="16"/>
        <v>202511</v>
      </c>
      <c r="AH139" s="46" t="s">
        <v>509</v>
      </c>
      <c r="AI139" s="46" t="s">
        <v>509</v>
      </c>
      <c r="AJ139" s="38" t="s">
        <v>190</v>
      </c>
      <c r="AK139" s="46" t="s">
        <v>509</v>
      </c>
      <c r="AM139" s="27" t="s">
        <v>510</v>
      </c>
      <c r="AN139" s="27" t="s">
        <v>511</v>
      </c>
      <c r="AO139" s="27" t="s">
        <v>425</v>
      </c>
      <c r="AP139" s="27" t="s">
        <v>512</v>
      </c>
      <c r="AQ139" s="27" t="s">
        <v>212</v>
      </c>
      <c r="AR139" s="38" t="str">
        <f t="shared" si="15"/>
        <v>202511</v>
      </c>
      <c r="AS139" s="46" t="s">
        <v>509</v>
      </c>
      <c r="AT139" s="46" t="s">
        <v>509</v>
      </c>
      <c r="AU139" s="38" t="s">
        <v>190</v>
      </c>
      <c r="AV139" s="46" t="s">
        <v>509</v>
      </c>
    </row>
    <row r="140" spans="13:48" ht="30" x14ac:dyDescent="0.25">
      <c r="M140" s="7" t="s">
        <v>518</v>
      </c>
      <c r="N140" s="7" t="s">
        <v>519</v>
      </c>
      <c r="O140" s="7" t="s">
        <v>520</v>
      </c>
      <c r="P140" s="7" t="s">
        <v>521</v>
      </c>
      <c r="Q140" s="7" t="s">
        <v>522</v>
      </c>
      <c r="R140" s="7" t="s">
        <v>145</v>
      </c>
      <c r="S140" s="14" t="str">
        <f t="shared" ref="S140:S146" si="17">YEAR(Q140) &amp; RIGHT("0" &amp; MONTH(Q140), 2)</f>
        <v>202511</v>
      </c>
      <c r="U140" s="25" t="s">
        <v>523</v>
      </c>
      <c r="V140" s="25" t="s">
        <v>523</v>
      </c>
      <c r="W140" s="14" t="s">
        <v>524</v>
      </c>
      <c r="X140" s="25" t="s">
        <v>523</v>
      </c>
      <c r="AA140" s="7" t="s">
        <v>518</v>
      </c>
      <c r="AB140" s="7" t="s">
        <v>519</v>
      </c>
      <c r="AC140" s="7" t="s">
        <v>520</v>
      </c>
      <c r="AD140" s="7" t="s">
        <v>521</v>
      </c>
      <c r="AE140" s="7" t="s">
        <v>522</v>
      </c>
      <c r="AF140" s="7" t="s">
        <v>145</v>
      </c>
      <c r="AG140" s="14" t="str">
        <f t="shared" si="16"/>
        <v>202511</v>
      </c>
      <c r="AH140" s="25" t="s">
        <v>523</v>
      </c>
      <c r="AI140" s="25" t="s">
        <v>523</v>
      </c>
      <c r="AJ140" s="14" t="s">
        <v>524</v>
      </c>
      <c r="AK140" s="25" t="s">
        <v>523</v>
      </c>
      <c r="AM140" s="7" t="s">
        <v>518</v>
      </c>
      <c r="AN140" s="7" t="s">
        <v>519</v>
      </c>
      <c r="AO140" s="7" t="s">
        <v>520</v>
      </c>
      <c r="AP140" s="7" t="s">
        <v>521</v>
      </c>
      <c r="AQ140" s="7" t="s">
        <v>522</v>
      </c>
      <c r="AR140" s="14" t="str">
        <f t="shared" si="15"/>
        <v>202511</v>
      </c>
      <c r="AS140" s="25" t="s">
        <v>523</v>
      </c>
      <c r="AT140" s="25" t="s">
        <v>523</v>
      </c>
      <c r="AU140" s="14" t="s">
        <v>524</v>
      </c>
      <c r="AV140" s="25" t="s">
        <v>523</v>
      </c>
    </row>
    <row r="141" spans="13:48" ht="30" x14ac:dyDescent="0.25">
      <c r="M141" s="7" t="s">
        <v>384</v>
      </c>
      <c r="N141" s="7" t="s">
        <v>525</v>
      </c>
      <c r="O141" s="7" t="s">
        <v>212</v>
      </c>
      <c r="P141" s="7" t="s">
        <v>526</v>
      </c>
      <c r="Q141" s="7" t="s">
        <v>527</v>
      </c>
      <c r="R141" s="7" t="s">
        <v>145</v>
      </c>
      <c r="S141" s="14" t="str">
        <f t="shared" si="17"/>
        <v>202511</v>
      </c>
      <c r="U141" s="25" t="s">
        <v>523</v>
      </c>
      <c r="V141" s="25" t="s">
        <v>523</v>
      </c>
      <c r="W141" s="14" t="s">
        <v>524</v>
      </c>
      <c r="X141" s="25" t="s">
        <v>523</v>
      </c>
      <c r="AA141" s="7" t="s">
        <v>384</v>
      </c>
      <c r="AB141" s="7" t="s">
        <v>525</v>
      </c>
      <c r="AC141" s="7" t="s">
        <v>212</v>
      </c>
      <c r="AD141" s="7" t="s">
        <v>526</v>
      </c>
      <c r="AE141" s="7" t="s">
        <v>527</v>
      </c>
      <c r="AF141" s="7" t="s">
        <v>145</v>
      </c>
      <c r="AG141" s="14" t="str">
        <f t="shared" si="16"/>
        <v>202511</v>
      </c>
      <c r="AH141" s="25" t="s">
        <v>523</v>
      </c>
      <c r="AI141" s="25" t="s">
        <v>523</v>
      </c>
      <c r="AJ141" s="14" t="s">
        <v>524</v>
      </c>
      <c r="AK141" s="25" t="s">
        <v>523</v>
      </c>
      <c r="AM141" s="7" t="s">
        <v>384</v>
      </c>
      <c r="AN141" s="7" t="s">
        <v>525</v>
      </c>
      <c r="AO141" s="7" t="s">
        <v>212</v>
      </c>
      <c r="AP141" s="7" t="s">
        <v>526</v>
      </c>
      <c r="AQ141" s="7" t="s">
        <v>527</v>
      </c>
      <c r="AR141" s="14" t="str">
        <f t="shared" si="15"/>
        <v>202511</v>
      </c>
      <c r="AS141" s="25" t="s">
        <v>523</v>
      </c>
      <c r="AT141" s="25" t="s">
        <v>523</v>
      </c>
      <c r="AU141" s="14" t="s">
        <v>524</v>
      </c>
      <c r="AV141" s="25" t="s">
        <v>523</v>
      </c>
    </row>
    <row r="142" spans="13:48" ht="30" x14ac:dyDescent="0.25">
      <c r="M142" s="7" t="s">
        <v>528</v>
      </c>
      <c r="N142" s="7" t="s">
        <v>529</v>
      </c>
      <c r="O142" s="7" t="s">
        <v>212</v>
      </c>
      <c r="P142" s="7" t="s">
        <v>530</v>
      </c>
      <c r="Q142" s="7" t="s">
        <v>527</v>
      </c>
      <c r="R142" s="7" t="s">
        <v>145</v>
      </c>
      <c r="S142" s="14" t="str">
        <f t="shared" si="17"/>
        <v>202511</v>
      </c>
      <c r="U142" s="25" t="s">
        <v>523</v>
      </c>
      <c r="V142" s="25" t="s">
        <v>523</v>
      </c>
      <c r="W142" s="14" t="s">
        <v>524</v>
      </c>
      <c r="X142" s="25" t="s">
        <v>523</v>
      </c>
      <c r="AA142" s="7" t="s">
        <v>528</v>
      </c>
      <c r="AB142" s="7" t="s">
        <v>529</v>
      </c>
      <c r="AC142" s="7" t="s">
        <v>212</v>
      </c>
      <c r="AD142" s="7" t="s">
        <v>530</v>
      </c>
      <c r="AE142" s="7" t="s">
        <v>527</v>
      </c>
      <c r="AF142" s="7" t="s">
        <v>145</v>
      </c>
      <c r="AG142" s="14" t="str">
        <f t="shared" si="16"/>
        <v>202511</v>
      </c>
      <c r="AH142" s="25" t="s">
        <v>523</v>
      </c>
      <c r="AI142" s="25" t="s">
        <v>523</v>
      </c>
      <c r="AJ142" s="14" t="s">
        <v>524</v>
      </c>
      <c r="AK142" s="25" t="s">
        <v>523</v>
      </c>
      <c r="AM142" s="7" t="s">
        <v>528</v>
      </c>
      <c r="AN142" s="7" t="s">
        <v>529</v>
      </c>
      <c r="AO142" s="7" t="s">
        <v>212</v>
      </c>
      <c r="AP142" s="7" t="s">
        <v>530</v>
      </c>
      <c r="AQ142" s="7" t="s">
        <v>527</v>
      </c>
      <c r="AR142" s="14" t="str">
        <f t="shared" si="15"/>
        <v>202511</v>
      </c>
      <c r="AS142" s="25" t="s">
        <v>523</v>
      </c>
      <c r="AT142" s="25" t="s">
        <v>523</v>
      </c>
      <c r="AU142" s="14" t="s">
        <v>524</v>
      </c>
      <c r="AV142" s="25" t="s">
        <v>523</v>
      </c>
    </row>
    <row r="143" spans="13:48" ht="30" x14ac:dyDescent="0.25">
      <c r="M143" s="7" t="s">
        <v>480</v>
      </c>
      <c r="N143" s="7" t="s">
        <v>531</v>
      </c>
      <c r="O143" s="7" t="s">
        <v>520</v>
      </c>
      <c r="P143" s="7" t="s">
        <v>532</v>
      </c>
      <c r="Q143" s="7" t="s">
        <v>533</v>
      </c>
      <c r="R143" s="7" t="s">
        <v>145</v>
      </c>
      <c r="S143" s="14" t="str">
        <f t="shared" si="17"/>
        <v>202511</v>
      </c>
      <c r="U143" s="25" t="s">
        <v>523</v>
      </c>
      <c r="V143" s="25" t="s">
        <v>523</v>
      </c>
      <c r="W143" s="14" t="s">
        <v>524</v>
      </c>
      <c r="X143" s="25" t="s">
        <v>523</v>
      </c>
      <c r="AA143" s="7" t="s">
        <v>480</v>
      </c>
      <c r="AB143" s="7" t="s">
        <v>531</v>
      </c>
      <c r="AC143" s="7" t="s">
        <v>520</v>
      </c>
      <c r="AD143" s="7" t="s">
        <v>532</v>
      </c>
      <c r="AE143" s="7" t="s">
        <v>533</v>
      </c>
      <c r="AF143" s="7" t="s">
        <v>145</v>
      </c>
      <c r="AG143" s="14" t="str">
        <f t="shared" si="16"/>
        <v>202511</v>
      </c>
      <c r="AH143" s="25" t="s">
        <v>523</v>
      </c>
      <c r="AI143" s="25" t="s">
        <v>523</v>
      </c>
      <c r="AJ143" s="14" t="s">
        <v>524</v>
      </c>
      <c r="AK143" s="25" t="s">
        <v>523</v>
      </c>
      <c r="AM143" s="7" t="s">
        <v>480</v>
      </c>
      <c r="AN143" s="7" t="s">
        <v>531</v>
      </c>
      <c r="AO143" s="7" t="s">
        <v>520</v>
      </c>
      <c r="AP143" s="7" t="s">
        <v>532</v>
      </c>
      <c r="AQ143" s="7" t="s">
        <v>533</v>
      </c>
      <c r="AR143" s="14" t="str">
        <f t="shared" si="15"/>
        <v>202511</v>
      </c>
      <c r="AS143" s="25" t="s">
        <v>523</v>
      </c>
      <c r="AT143" s="25" t="s">
        <v>523</v>
      </c>
      <c r="AU143" s="14" t="s">
        <v>524</v>
      </c>
      <c r="AV143" s="25" t="s">
        <v>523</v>
      </c>
    </row>
    <row r="144" spans="13:48" ht="30" x14ac:dyDescent="0.25">
      <c r="M144" s="7" t="s">
        <v>486</v>
      </c>
      <c r="N144" s="7" t="s">
        <v>534</v>
      </c>
      <c r="O144" s="7" t="s">
        <v>520</v>
      </c>
      <c r="P144" s="7" t="s">
        <v>535</v>
      </c>
      <c r="Q144" s="7" t="s">
        <v>533</v>
      </c>
      <c r="R144" s="7" t="s">
        <v>145</v>
      </c>
      <c r="S144" s="14" t="str">
        <f t="shared" si="17"/>
        <v>202511</v>
      </c>
      <c r="U144" s="25" t="s">
        <v>523</v>
      </c>
      <c r="V144" s="25" t="s">
        <v>523</v>
      </c>
      <c r="W144" s="14" t="s">
        <v>524</v>
      </c>
      <c r="X144" s="25" t="s">
        <v>523</v>
      </c>
      <c r="AA144" s="7" t="s">
        <v>486</v>
      </c>
      <c r="AB144" s="7" t="s">
        <v>534</v>
      </c>
      <c r="AC144" s="7" t="s">
        <v>520</v>
      </c>
      <c r="AD144" s="7" t="s">
        <v>535</v>
      </c>
      <c r="AE144" s="7" t="s">
        <v>533</v>
      </c>
      <c r="AF144" s="7" t="s">
        <v>145</v>
      </c>
      <c r="AG144" s="14" t="str">
        <f t="shared" si="16"/>
        <v>202511</v>
      </c>
      <c r="AH144" s="25" t="s">
        <v>523</v>
      </c>
      <c r="AI144" s="25" t="s">
        <v>523</v>
      </c>
      <c r="AJ144" s="14" t="s">
        <v>524</v>
      </c>
      <c r="AK144" s="25" t="s">
        <v>523</v>
      </c>
      <c r="AM144" s="7" t="s">
        <v>486</v>
      </c>
      <c r="AN144" s="7" t="s">
        <v>534</v>
      </c>
      <c r="AO144" s="7" t="s">
        <v>520</v>
      </c>
      <c r="AP144" s="7" t="s">
        <v>535</v>
      </c>
      <c r="AQ144" s="7" t="s">
        <v>533</v>
      </c>
      <c r="AR144" s="14" t="str">
        <f t="shared" si="15"/>
        <v>202511</v>
      </c>
      <c r="AS144" s="25" t="s">
        <v>523</v>
      </c>
      <c r="AT144" s="25" t="s">
        <v>523</v>
      </c>
      <c r="AU144" s="14" t="s">
        <v>524</v>
      </c>
      <c r="AV144" s="25" t="s">
        <v>523</v>
      </c>
    </row>
    <row r="145" spans="13:48" ht="30" x14ac:dyDescent="0.25">
      <c r="M145" s="7" t="s">
        <v>480</v>
      </c>
      <c r="N145" s="7" t="s">
        <v>536</v>
      </c>
      <c r="O145" s="7" t="s">
        <v>520</v>
      </c>
      <c r="P145" s="7" t="s">
        <v>537</v>
      </c>
      <c r="Q145" s="7" t="s">
        <v>533</v>
      </c>
      <c r="R145" s="7" t="s">
        <v>145</v>
      </c>
      <c r="S145" s="14" t="str">
        <f t="shared" si="17"/>
        <v>202511</v>
      </c>
      <c r="U145" s="25" t="s">
        <v>523</v>
      </c>
      <c r="V145" s="25" t="s">
        <v>523</v>
      </c>
      <c r="W145" s="14" t="s">
        <v>524</v>
      </c>
      <c r="X145" s="25" t="s">
        <v>523</v>
      </c>
      <c r="AA145" s="7" t="s">
        <v>480</v>
      </c>
      <c r="AB145" s="7" t="s">
        <v>536</v>
      </c>
      <c r="AC145" s="7" t="s">
        <v>520</v>
      </c>
      <c r="AD145" s="7" t="s">
        <v>537</v>
      </c>
      <c r="AE145" s="7" t="s">
        <v>533</v>
      </c>
      <c r="AF145" s="7" t="s">
        <v>145</v>
      </c>
      <c r="AG145" s="14" t="str">
        <f t="shared" si="16"/>
        <v>202511</v>
      </c>
      <c r="AH145" s="25" t="s">
        <v>523</v>
      </c>
      <c r="AI145" s="25" t="s">
        <v>523</v>
      </c>
      <c r="AJ145" s="14" t="s">
        <v>524</v>
      </c>
      <c r="AK145" s="25" t="s">
        <v>523</v>
      </c>
      <c r="AM145" s="7" t="s">
        <v>480</v>
      </c>
      <c r="AN145" s="7" t="s">
        <v>536</v>
      </c>
      <c r="AO145" s="7" t="s">
        <v>520</v>
      </c>
      <c r="AP145" s="7" t="s">
        <v>537</v>
      </c>
      <c r="AQ145" s="7" t="s">
        <v>533</v>
      </c>
      <c r="AR145" s="14" t="str">
        <f t="shared" si="15"/>
        <v>202511</v>
      </c>
      <c r="AS145" s="25" t="s">
        <v>523</v>
      </c>
      <c r="AT145" s="25" t="s">
        <v>523</v>
      </c>
      <c r="AU145" s="14" t="s">
        <v>524</v>
      </c>
      <c r="AV145" s="25" t="s">
        <v>523</v>
      </c>
    </row>
    <row r="146" spans="13:48" ht="30" x14ac:dyDescent="0.25">
      <c r="M146" s="7" t="s">
        <v>480</v>
      </c>
      <c r="N146" s="7" t="s">
        <v>538</v>
      </c>
      <c r="O146" s="7" t="s">
        <v>520</v>
      </c>
      <c r="P146" s="7" t="s">
        <v>539</v>
      </c>
      <c r="Q146" s="7" t="s">
        <v>533</v>
      </c>
      <c r="R146" s="7" t="s">
        <v>145</v>
      </c>
      <c r="S146" s="14" t="str">
        <f t="shared" si="17"/>
        <v>202511</v>
      </c>
      <c r="U146" s="25" t="s">
        <v>523</v>
      </c>
      <c r="V146" s="25" t="s">
        <v>523</v>
      </c>
      <c r="W146" s="14" t="s">
        <v>524</v>
      </c>
      <c r="X146" s="25" t="s">
        <v>523</v>
      </c>
      <c r="AA146" s="7" t="s">
        <v>480</v>
      </c>
      <c r="AB146" s="7" t="s">
        <v>538</v>
      </c>
      <c r="AC146" s="7" t="s">
        <v>520</v>
      </c>
      <c r="AD146" s="7" t="s">
        <v>539</v>
      </c>
      <c r="AE146" s="7" t="s">
        <v>533</v>
      </c>
      <c r="AF146" s="7" t="s">
        <v>145</v>
      </c>
      <c r="AG146" s="14" t="str">
        <f t="shared" si="16"/>
        <v>202511</v>
      </c>
      <c r="AH146" s="25" t="s">
        <v>523</v>
      </c>
      <c r="AI146" s="25" t="s">
        <v>523</v>
      </c>
      <c r="AJ146" s="14" t="s">
        <v>524</v>
      </c>
      <c r="AK146" s="25" t="s">
        <v>523</v>
      </c>
      <c r="AM146" s="7" t="s">
        <v>480</v>
      </c>
      <c r="AN146" s="7" t="s">
        <v>538</v>
      </c>
      <c r="AO146" s="7" t="s">
        <v>520</v>
      </c>
      <c r="AP146" s="7" t="s">
        <v>539</v>
      </c>
      <c r="AQ146" s="7" t="s">
        <v>533</v>
      </c>
      <c r="AR146" s="14" t="str">
        <f t="shared" si="15"/>
        <v>202511</v>
      </c>
      <c r="AS146" s="25" t="s">
        <v>523</v>
      </c>
      <c r="AT146" s="25" t="s">
        <v>523</v>
      </c>
      <c r="AU146" s="14" t="s">
        <v>524</v>
      </c>
      <c r="AV146" s="25" t="s">
        <v>523</v>
      </c>
    </row>
    <row r="147" spans="13:48" x14ac:dyDescent="0.25">
      <c r="X147" s="14"/>
      <c r="AF147" s="19"/>
      <c r="AG147" s="21"/>
      <c r="AH147" s="21"/>
      <c r="AI147" s="21"/>
      <c r="AJ147" s="14"/>
      <c r="AK147" s="14"/>
      <c r="AS147" s="21"/>
      <c r="AT147" s="21"/>
      <c r="AV147" s="14"/>
    </row>
    <row r="148" spans="13:48" x14ac:dyDescent="0.25">
      <c r="X148" s="14"/>
      <c r="AF148" s="19"/>
      <c r="AG148" s="21"/>
      <c r="AH148" s="21"/>
      <c r="AI148" s="21"/>
      <c r="AJ148" s="14"/>
      <c r="AK148" s="14"/>
      <c r="AS148" s="21"/>
      <c r="AT148" s="21"/>
      <c r="AV148" s="14"/>
    </row>
    <row r="149" spans="13:48" x14ac:dyDescent="0.25">
      <c r="X149" s="14"/>
      <c r="AF149" s="19"/>
      <c r="AG149" s="21"/>
      <c r="AH149" s="21"/>
      <c r="AI149" s="21"/>
      <c r="AJ149" s="14"/>
      <c r="AK149" s="14"/>
      <c r="AS149" s="21"/>
      <c r="AT149" s="21"/>
      <c r="AV149" s="14"/>
    </row>
  </sheetData>
  <mergeCells count="4">
    <mergeCell ref="Y65:Y84"/>
    <mergeCell ref="Y85:Y92"/>
    <mergeCell ref="Y93:Y111"/>
    <mergeCell ref="AA64:AK64"/>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4E7F9-FAFF-423A-96DB-D742BEC25385}">
  <dimension ref="A2:BB70"/>
  <sheetViews>
    <sheetView zoomScale="80" zoomScaleNormal="80" workbookViewId="0">
      <pane ySplit="5" topLeftCell="A6" activePane="bottomLeft" state="frozen"/>
      <selection pane="bottomLeft" activeCell="AT69" sqref="AT69"/>
    </sheetView>
  </sheetViews>
  <sheetFormatPr defaultColWidth="8.85546875" defaultRowHeight="15" x14ac:dyDescent="0.25"/>
  <cols>
    <col min="1" max="1" width="17.28515625" style="2" customWidth="1"/>
    <col min="2" max="2" width="9.85546875" style="2" bestFit="1" customWidth="1"/>
    <col min="3" max="3" width="22.85546875" style="2" bestFit="1" customWidth="1"/>
    <col min="4" max="4" width="7.28515625" style="2" bestFit="1" customWidth="1"/>
    <col min="5" max="5" width="11.7109375" style="2" bestFit="1" customWidth="1"/>
    <col min="6" max="6" width="10.7109375" style="2" bestFit="1" customWidth="1"/>
    <col min="7" max="7" width="11" style="2" bestFit="1" customWidth="1"/>
    <col min="8" max="8" width="19.28515625" style="2" bestFit="1" customWidth="1"/>
    <col min="9" max="9" width="12.7109375" style="2" customWidth="1"/>
    <col min="10" max="10" width="16" style="2" bestFit="1" customWidth="1"/>
    <col min="11" max="11" width="4" style="40" customWidth="1"/>
    <col min="12" max="12" width="14.140625" style="2" customWidth="1"/>
    <col min="13" max="13" width="22.85546875" style="2" bestFit="1" customWidth="1"/>
    <col min="14" max="14" width="7.28515625" style="2" bestFit="1" customWidth="1"/>
    <col min="15" max="15" width="11.7109375" style="2" bestFit="1" customWidth="1"/>
    <col min="16" max="16" width="10.7109375" style="2" bestFit="1" customWidth="1"/>
    <col min="17" max="17" width="11" style="2" bestFit="1" customWidth="1"/>
    <col min="18" max="18" width="19.28515625" style="2" bestFit="1" customWidth="1"/>
    <col min="19" max="19" width="14" style="2" bestFit="1" customWidth="1"/>
    <col min="20" max="20" width="13.85546875" style="10" bestFit="1" customWidth="1"/>
    <col min="21" max="21" width="19.42578125" style="2" customWidth="1"/>
    <col min="22" max="22" width="20.7109375" style="10" bestFit="1" customWidth="1"/>
    <col min="23" max="23" width="24.5703125" style="10" customWidth="1"/>
    <col min="24" max="24" width="10.42578125" style="10" customWidth="1"/>
    <col min="25" max="25" width="16" style="4" bestFit="1" customWidth="1"/>
    <col min="26" max="26" width="26.42578125" style="2" customWidth="1"/>
    <col min="27" max="27" width="4" style="40" customWidth="1"/>
    <col min="28" max="28" width="14.140625" style="2" customWidth="1"/>
    <col min="29" max="29" width="22.85546875" style="2" bestFit="1" customWidth="1"/>
    <col min="30" max="30" width="7.5703125" style="2" bestFit="1" customWidth="1"/>
    <col min="31" max="31" width="11.7109375" style="2" bestFit="1" customWidth="1"/>
    <col min="32" max="32" width="10.7109375" style="2" bestFit="1" customWidth="1"/>
    <col min="33" max="33" width="11.140625" style="2" bestFit="1" customWidth="1"/>
    <col min="34" max="34" width="19.28515625" style="2" bestFit="1" customWidth="1"/>
    <col min="35" max="35" width="13.42578125" style="2" bestFit="1" customWidth="1"/>
    <col min="36" max="36" width="13.85546875" style="2" bestFit="1" customWidth="1"/>
    <col min="37" max="38" width="20.85546875" style="2" customWidth="1"/>
    <col min="39" max="39" width="13.7109375" style="2" customWidth="1"/>
    <col min="40" max="40" width="16.28515625" style="2" customWidth="1"/>
    <col min="41" max="41" width="4" style="40" customWidth="1"/>
    <col min="42" max="42" width="25.42578125" style="10" customWidth="1"/>
    <col min="43" max="43" width="7.28515625" style="2" bestFit="1" customWidth="1"/>
    <col min="44" max="44" width="11.7109375" style="2" bestFit="1" customWidth="1"/>
    <col min="45" max="45" width="10.7109375" style="2" bestFit="1" customWidth="1"/>
    <col min="46" max="46" width="11.140625" style="2" bestFit="1" customWidth="1"/>
    <col min="47" max="47" width="19.28515625" style="2" bestFit="1" customWidth="1"/>
    <col min="48" max="48" width="14" style="2" bestFit="1" customWidth="1"/>
    <col min="49" max="49" width="13.7109375" style="2" bestFit="1" customWidth="1"/>
    <col min="50" max="51" width="20.85546875" style="2" customWidth="1"/>
    <col min="52" max="52" width="13.7109375" style="2" customWidth="1"/>
    <col min="53" max="53" width="16.28515625" style="2" customWidth="1"/>
    <col min="54" max="54" width="4" style="40" customWidth="1"/>
    <col min="55" max="16384" width="8.85546875" style="2"/>
  </cols>
  <sheetData>
    <row r="2" spans="1:54" s="3" customFormat="1" x14ac:dyDescent="0.25">
      <c r="A2" s="3" t="s">
        <v>540</v>
      </c>
      <c r="K2" s="39"/>
      <c r="T2" s="11"/>
      <c r="V2" s="11"/>
      <c r="W2" s="11"/>
      <c r="X2" s="11"/>
      <c r="Y2" s="36"/>
      <c r="AA2" s="39"/>
      <c r="AO2" s="39"/>
      <c r="AP2" s="11"/>
      <c r="BB2" s="39"/>
    </row>
    <row r="3" spans="1:54" s="1" customFormat="1" x14ac:dyDescent="0.25">
      <c r="B3" s="1" t="s">
        <v>57</v>
      </c>
      <c r="K3" s="39"/>
      <c r="L3" s="1" t="s">
        <v>58</v>
      </c>
      <c r="X3" s="12"/>
      <c r="Y3" s="15"/>
      <c r="AA3" s="39"/>
      <c r="AB3" s="1" t="s">
        <v>35</v>
      </c>
      <c r="AM3" s="12"/>
      <c r="AN3" s="12"/>
      <c r="AO3" s="39"/>
      <c r="AP3" s="12" t="s">
        <v>43</v>
      </c>
      <c r="AZ3" s="12"/>
      <c r="BA3" s="12"/>
      <c r="BB3" s="39"/>
    </row>
    <row r="4" spans="1:54" s="1" customFormat="1" ht="90" x14ac:dyDescent="0.25">
      <c r="I4" s="1" t="s">
        <v>118</v>
      </c>
      <c r="K4" s="39"/>
      <c r="L4" s="26" t="s">
        <v>541</v>
      </c>
      <c r="M4" s="26" t="s">
        <v>541</v>
      </c>
      <c r="T4" s="12" t="s">
        <v>118</v>
      </c>
      <c r="U4" s="26" t="s">
        <v>248</v>
      </c>
      <c r="V4" s="26" t="s">
        <v>121</v>
      </c>
      <c r="W4" s="26" t="s">
        <v>122</v>
      </c>
      <c r="X4" s="97" t="s">
        <v>123</v>
      </c>
      <c r="Y4" s="97"/>
      <c r="AA4" s="39"/>
      <c r="AB4" s="26" t="s">
        <v>541</v>
      </c>
      <c r="AC4" s="26" t="s">
        <v>541</v>
      </c>
      <c r="AJ4" s="12" t="s">
        <v>118</v>
      </c>
      <c r="AK4" s="26" t="s">
        <v>121</v>
      </c>
      <c r="AL4" s="26" t="s">
        <v>122</v>
      </c>
      <c r="AM4" s="97" t="s">
        <v>123</v>
      </c>
      <c r="AN4" s="97"/>
      <c r="AO4" s="39"/>
      <c r="AP4" s="12"/>
      <c r="AW4" s="12" t="s">
        <v>118</v>
      </c>
      <c r="AX4" s="26" t="s">
        <v>121</v>
      </c>
      <c r="AY4" s="26" t="s">
        <v>122</v>
      </c>
      <c r="AZ4" s="97" t="s">
        <v>123</v>
      </c>
      <c r="BA4" s="97"/>
      <c r="BB4" s="39"/>
    </row>
    <row r="5" spans="1:54" s="1" customFormat="1" x14ac:dyDescent="0.25">
      <c r="B5" s="1" t="s">
        <v>542</v>
      </c>
      <c r="C5" s="1" t="s">
        <v>395</v>
      </c>
      <c r="D5" s="1" t="s">
        <v>543</v>
      </c>
      <c r="E5" s="1" t="s">
        <v>544</v>
      </c>
      <c r="F5" s="1" t="s">
        <v>340</v>
      </c>
      <c r="G5" s="1" t="s">
        <v>249</v>
      </c>
      <c r="H5" s="1" t="s">
        <v>545</v>
      </c>
      <c r="I5" s="1" t="s">
        <v>68</v>
      </c>
      <c r="J5" s="1" t="s">
        <v>133</v>
      </c>
      <c r="K5" s="39"/>
      <c r="L5" s="1" t="s">
        <v>542</v>
      </c>
      <c r="M5" s="1" t="s">
        <v>395</v>
      </c>
      <c r="N5" s="1" t="s">
        <v>543</v>
      </c>
      <c r="O5" s="1" t="s">
        <v>544</v>
      </c>
      <c r="P5" s="1" t="s">
        <v>340</v>
      </c>
      <c r="Q5" s="1" t="s">
        <v>249</v>
      </c>
      <c r="R5" s="1" t="s">
        <v>545</v>
      </c>
      <c r="S5" s="1" t="s">
        <v>134</v>
      </c>
      <c r="T5" s="1" t="s">
        <v>396</v>
      </c>
      <c r="U5" s="1" t="s">
        <v>258</v>
      </c>
      <c r="V5" s="1" t="s">
        <v>135</v>
      </c>
      <c r="W5" s="1" t="s">
        <v>136</v>
      </c>
      <c r="X5" s="1" t="s">
        <v>68</v>
      </c>
      <c r="Y5" s="26" t="s">
        <v>133</v>
      </c>
      <c r="AA5" s="39"/>
      <c r="AB5" s="1" t="s">
        <v>542</v>
      </c>
      <c r="AC5" s="1" t="s">
        <v>395</v>
      </c>
      <c r="AD5" s="1" t="s">
        <v>543</v>
      </c>
      <c r="AE5" s="1" t="s">
        <v>544</v>
      </c>
      <c r="AF5" s="1" t="s">
        <v>340</v>
      </c>
      <c r="AG5" s="1" t="s">
        <v>249</v>
      </c>
      <c r="AH5" s="1" t="s">
        <v>545</v>
      </c>
      <c r="AI5" s="1" t="s">
        <v>134</v>
      </c>
      <c r="AJ5" s="1" t="s">
        <v>396</v>
      </c>
      <c r="AK5" s="1" t="s">
        <v>135</v>
      </c>
      <c r="AL5" s="1" t="s">
        <v>136</v>
      </c>
      <c r="AM5" s="1" t="s">
        <v>68</v>
      </c>
      <c r="AN5" s="26" t="s">
        <v>133</v>
      </c>
      <c r="AO5" s="39"/>
      <c r="AP5" s="12" t="s">
        <v>546</v>
      </c>
      <c r="AQ5" s="1" t="s">
        <v>543</v>
      </c>
      <c r="AR5" s="1" t="s">
        <v>544</v>
      </c>
      <c r="AS5" s="1" t="s">
        <v>340</v>
      </c>
      <c r="AT5" s="1" t="s">
        <v>249</v>
      </c>
      <c r="AU5" s="1" t="s">
        <v>545</v>
      </c>
      <c r="AV5" s="1" t="s">
        <v>134</v>
      </c>
      <c r="AW5" s="1" t="s">
        <v>396</v>
      </c>
      <c r="AX5" s="1" t="s">
        <v>135</v>
      </c>
      <c r="AY5" s="1" t="s">
        <v>136</v>
      </c>
      <c r="AZ5" s="1" t="s">
        <v>68</v>
      </c>
      <c r="BA5" s="26" t="s">
        <v>133</v>
      </c>
      <c r="BB5" s="39"/>
    </row>
    <row r="6" spans="1:54" x14ac:dyDescent="0.25">
      <c r="A6" s="5" t="s">
        <v>139</v>
      </c>
      <c r="B6" s="2" t="s">
        <v>547</v>
      </c>
      <c r="C6" s="2" t="s">
        <v>548</v>
      </c>
      <c r="D6" s="2" t="s">
        <v>549</v>
      </c>
      <c r="F6" s="2" t="s">
        <v>550</v>
      </c>
      <c r="H6" s="2" t="s">
        <v>551</v>
      </c>
      <c r="I6" s="2" t="s">
        <v>139</v>
      </c>
      <c r="J6" s="23" t="s">
        <v>144</v>
      </c>
      <c r="L6" s="2" t="s">
        <v>547</v>
      </c>
      <c r="M6" s="2" t="s">
        <v>548</v>
      </c>
      <c r="N6" s="2" t="s">
        <v>549</v>
      </c>
      <c r="P6" s="2" t="s">
        <v>550</v>
      </c>
      <c r="R6" s="2" t="s">
        <v>551</v>
      </c>
      <c r="S6" s="2" t="s">
        <v>145</v>
      </c>
      <c r="T6" s="10" t="str">
        <f>YEAR(M6) &amp; RIGHT("0" &amp; MONTH(M6), 2)</f>
        <v>202511</v>
      </c>
      <c r="U6" s="23"/>
      <c r="V6" s="10" t="s">
        <v>139</v>
      </c>
      <c r="W6" s="10" t="s">
        <v>139</v>
      </c>
      <c r="X6" s="10" t="s">
        <v>139</v>
      </c>
      <c r="Y6" s="23" t="s">
        <v>144</v>
      </c>
      <c r="AB6" s="2" t="s">
        <v>547</v>
      </c>
      <c r="AC6" s="2" t="s">
        <v>548</v>
      </c>
      <c r="AD6" s="2" t="s">
        <v>549</v>
      </c>
      <c r="AF6" s="2" t="s">
        <v>550</v>
      </c>
      <c r="AH6" s="2" t="s">
        <v>551</v>
      </c>
      <c r="AI6" s="2" t="s">
        <v>145</v>
      </c>
      <c r="AJ6" s="10" t="str">
        <f>YEAR(AC6) &amp; RIGHT("0" &amp; MONTH(AC6), 2)</f>
        <v>202511</v>
      </c>
      <c r="AK6" s="10" t="s">
        <v>139</v>
      </c>
      <c r="AL6" s="10" t="s">
        <v>139</v>
      </c>
      <c r="AM6" s="10" t="s">
        <v>139</v>
      </c>
      <c r="AN6" s="23" t="s">
        <v>144</v>
      </c>
      <c r="AP6" s="10" t="str">
        <f>AB6 &amp; "_" &amp; LEFT(AC6, 10)</f>
        <v>JC485950_2025-11-01</v>
      </c>
      <c r="AQ6" s="2" t="s">
        <v>549</v>
      </c>
      <c r="AS6" s="2" t="s">
        <v>550</v>
      </c>
      <c r="AU6" s="2" t="s">
        <v>551</v>
      </c>
      <c r="AV6" s="2" t="s">
        <v>145</v>
      </c>
      <c r="AW6" s="10" t="s">
        <v>514</v>
      </c>
      <c r="AX6" s="10" t="s">
        <v>139</v>
      </c>
      <c r="AY6" s="10" t="s">
        <v>139</v>
      </c>
      <c r="AZ6" s="10" t="s">
        <v>139</v>
      </c>
      <c r="BA6" s="23" t="s">
        <v>144</v>
      </c>
    </row>
    <row r="7" spans="1:54" x14ac:dyDescent="0.25">
      <c r="B7" s="2" t="s">
        <v>547</v>
      </c>
      <c r="C7" s="2" t="s">
        <v>548</v>
      </c>
      <c r="D7" s="2" t="s">
        <v>552</v>
      </c>
      <c r="F7" s="2" t="s">
        <v>553</v>
      </c>
      <c r="H7" s="2" t="s">
        <v>554</v>
      </c>
      <c r="I7" s="2" t="s">
        <v>139</v>
      </c>
      <c r="J7" s="23" t="s">
        <v>144</v>
      </c>
      <c r="L7" s="2" t="s">
        <v>547</v>
      </c>
      <c r="M7" s="2" t="s">
        <v>548</v>
      </c>
      <c r="N7" s="2" t="s">
        <v>552</v>
      </c>
      <c r="P7" s="2" t="s">
        <v>553</v>
      </c>
      <c r="R7" s="2" t="s">
        <v>554</v>
      </c>
      <c r="S7" s="2" t="s">
        <v>145</v>
      </c>
      <c r="T7" s="10" t="str">
        <f t="shared" ref="T7:T15" si="0">YEAR(M7) &amp; RIGHT("0" &amp; MONTH(M7), 2)</f>
        <v>202511</v>
      </c>
      <c r="U7" s="23"/>
      <c r="V7" s="10" t="s">
        <v>139</v>
      </c>
      <c r="W7" s="10" t="s">
        <v>139</v>
      </c>
      <c r="X7" s="10" t="s">
        <v>139</v>
      </c>
      <c r="Y7" s="23" t="s">
        <v>144</v>
      </c>
      <c r="AB7" s="2" t="s">
        <v>547</v>
      </c>
      <c r="AC7" s="2" t="s">
        <v>548</v>
      </c>
      <c r="AD7" s="2" t="s">
        <v>552</v>
      </c>
      <c r="AF7" s="2" t="s">
        <v>553</v>
      </c>
      <c r="AH7" s="2" t="s">
        <v>554</v>
      </c>
      <c r="AI7" s="2" t="s">
        <v>145</v>
      </c>
      <c r="AJ7" s="10" t="str">
        <f t="shared" ref="AJ7:AJ15" si="1">YEAR(AC7) &amp; RIGHT("0" &amp; MONTH(AC7), 2)</f>
        <v>202511</v>
      </c>
      <c r="AK7" s="10" t="s">
        <v>139</v>
      </c>
      <c r="AL7" s="10" t="s">
        <v>139</v>
      </c>
      <c r="AM7" s="10" t="s">
        <v>139</v>
      </c>
      <c r="AN7" s="23" t="s">
        <v>144</v>
      </c>
      <c r="AP7" s="10" t="str">
        <f t="shared" ref="AP7:AP39" si="2">AB7 &amp; "_" &amp; LEFT(AC7, 10)</f>
        <v>JC485950_2025-11-01</v>
      </c>
      <c r="AQ7" s="2" t="s">
        <v>552</v>
      </c>
      <c r="AS7" s="2" t="s">
        <v>553</v>
      </c>
      <c r="AU7" s="2" t="s">
        <v>554</v>
      </c>
      <c r="AV7" s="2" t="s">
        <v>145</v>
      </c>
      <c r="AW7" s="10" t="s">
        <v>514</v>
      </c>
      <c r="AX7" s="10" t="s">
        <v>139</v>
      </c>
      <c r="AY7" s="10" t="s">
        <v>139</v>
      </c>
      <c r="AZ7" s="10" t="s">
        <v>139</v>
      </c>
      <c r="BA7" s="23" t="s">
        <v>144</v>
      </c>
    </row>
    <row r="8" spans="1:54" x14ac:dyDescent="0.25">
      <c r="B8" s="2" t="s">
        <v>555</v>
      </c>
      <c r="C8" s="2" t="s">
        <v>548</v>
      </c>
      <c r="D8" s="2" t="s">
        <v>549</v>
      </c>
      <c r="E8" s="2" t="s">
        <v>556</v>
      </c>
      <c r="F8" s="2" t="s">
        <v>557</v>
      </c>
      <c r="H8" s="2" t="s">
        <v>558</v>
      </c>
      <c r="I8" s="2" t="s">
        <v>139</v>
      </c>
      <c r="J8" s="23" t="s">
        <v>144</v>
      </c>
      <c r="L8" s="2" t="s">
        <v>555</v>
      </c>
      <c r="M8" s="2" t="s">
        <v>548</v>
      </c>
      <c r="N8" s="2" t="s">
        <v>549</v>
      </c>
      <c r="O8" s="2" t="s">
        <v>556</v>
      </c>
      <c r="P8" s="2" t="s">
        <v>557</v>
      </c>
      <c r="R8" s="2" t="s">
        <v>558</v>
      </c>
      <c r="S8" s="2" t="s">
        <v>145</v>
      </c>
      <c r="T8" s="10" t="str">
        <f t="shared" si="0"/>
        <v>202511</v>
      </c>
      <c r="U8" s="23"/>
      <c r="V8" s="10" t="s">
        <v>139</v>
      </c>
      <c r="W8" s="10" t="s">
        <v>139</v>
      </c>
      <c r="X8" s="10" t="s">
        <v>139</v>
      </c>
      <c r="Y8" s="23" t="s">
        <v>144</v>
      </c>
      <c r="AB8" s="2" t="s">
        <v>555</v>
      </c>
      <c r="AC8" s="2" t="s">
        <v>548</v>
      </c>
      <c r="AD8" s="2" t="s">
        <v>549</v>
      </c>
      <c r="AE8" s="2" t="s">
        <v>556</v>
      </c>
      <c r="AF8" s="2" t="s">
        <v>557</v>
      </c>
      <c r="AH8" s="2" t="s">
        <v>558</v>
      </c>
      <c r="AI8" s="2" t="s">
        <v>145</v>
      </c>
      <c r="AJ8" s="10" t="str">
        <f t="shared" si="1"/>
        <v>202511</v>
      </c>
      <c r="AK8" s="10" t="s">
        <v>139</v>
      </c>
      <c r="AL8" s="10" t="s">
        <v>139</v>
      </c>
      <c r="AM8" s="10" t="s">
        <v>139</v>
      </c>
      <c r="AN8" s="23" t="s">
        <v>144</v>
      </c>
      <c r="AP8" s="10" t="str">
        <f t="shared" si="2"/>
        <v>JS711666_2025-11-01</v>
      </c>
      <c r="AQ8" s="2" t="s">
        <v>549</v>
      </c>
      <c r="AR8" s="2" t="s">
        <v>556</v>
      </c>
      <c r="AS8" s="2" t="s">
        <v>557</v>
      </c>
      <c r="AU8" s="2" t="s">
        <v>558</v>
      </c>
      <c r="AV8" s="2" t="s">
        <v>145</v>
      </c>
      <c r="AW8" s="10" t="s">
        <v>514</v>
      </c>
      <c r="AX8" s="10" t="s">
        <v>139</v>
      </c>
      <c r="AY8" s="10" t="s">
        <v>139</v>
      </c>
      <c r="AZ8" s="10" t="s">
        <v>139</v>
      </c>
      <c r="BA8" s="23" t="s">
        <v>144</v>
      </c>
    </row>
    <row r="9" spans="1:54" x14ac:dyDescent="0.25">
      <c r="B9" s="2" t="s">
        <v>555</v>
      </c>
      <c r="C9" s="2" t="s">
        <v>548</v>
      </c>
      <c r="D9" s="2" t="s">
        <v>552</v>
      </c>
      <c r="E9" s="2" t="s">
        <v>556</v>
      </c>
      <c r="F9" s="2" t="s">
        <v>559</v>
      </c>
      <c r="H9" s="2" t="s">
        <v>560</v>
      </c>
      <c r="I9" s="2" t="s">
        <v>139</v>
      </c>
      <c r="J9" s="23" t="s">
        <v>144</v>
      </c>
      <c r="L9" s="2" t="s">
        <v>555</v>
      </c>
      <c r="M9" s="2" t="s">
        <v>548</v>
      </c>
      <c r="N9" s="2" t="s">
        <v>552</v>
      </c>
      <c r="O9" s="2" t="s">
        <v>556</v>
      </c>
      <c r="P9" s="2" t="s">
        <v>559</v>
      </c>
      <c r="R9" s="2" t="s">
        <v>560</v>
      </c>
      <c r="S9" s="2" t="s">
        <v>145</v>
      </c>
      <c r="T9" s="10" t="str">
        <f t="shared" si="0"/>
        <v>202511</v>
      </c>
      <c r="U9" s="23"/>
      <c r="V9" s="10" t="s">
        <v>139</v>
      </c>
      <c r="W9" s="10" t="s">
        <v>139</v>
      </c>
      <c r="X9" s="10" t="s">
        <v>139</v>
      </c>
      <c r="Y9" s="23" t="s">
        <v>144</v>
      </c>
      <c r="AB9" s="2" t="s">
        <v>555</v>
      </c>
      <c r="AC9" s="2" t="s">
        <v>548</v>
      </c>
      <c r="AD9" s="2" t="s">
        <v>552</v>
      </c>
      <c r="AE9" s="2" t="s">
        <v>556</v>
      </c>
      <c r="AF9" s="2" t="s">
        <v>559</v>
      </c>
      <c r="AH9" s="2" t="s">
        <v>560</v>
      </c>
      <c r="AI9" s="2" t="s">
        <v>145</v>
      </c>
      <c r="AJ9" s="10" t="str">
        <f t="shared" si="1"/>
        <v>202511</v>
      </c>
      <c r="AK9" s="10" t="s">
        <v>139</v>
      </c>
      <c r="AL9" s="10" t="s">
        <v>139</v>
      </c>
      <c r="AM9" s="10" t="s">
        <v>139</v>
      </c>
      <c r="AN9" s="23" t="s">
        <v>144</v>
      </c>
      <c r="AP9" s="10" t="str">
        <f t="shared" si="2"/>
        <v>JS711666_2025-11-01</v>
      </c>
      <c r="AQ9" s="2" t="s">
        <v>552</v>
      </c>
      <c r="AR9" s="2" t="s">
        <v>556</v>
      </c>
      <c r="AS9" s="2" t="s">
        <v>559</v>
      </c>
      <c r="AU9" s="2" t="s">
        <v>560</v>
      </c>
      <c r="AV9" s="2" t="s">
        <v>145</v>
      </c>
      <c r="AW9" s="10" t="s">
        <v>514</v>
      </c>
      <c r="AX9" s="10" t="s">
        <v>139</v>
      </c>
      <c r="AY9" s="10" t="s">
        <v>139</v>
      </c>
      <c r="AZ9" s="10" t="s">
        <v>139</v>
      </c>
      <c r="BA9" s="23" t="s">
        <v>144</v>
      </c>
    </row>
    <row r="10" spans="1:54" x14ac:dyDescent="0.25">
      <c r="B10" s="2" t="s">
        <v>561</v>
      </c>
      <c r="C10" s="2" t="s">
        <v>548</v>
      </c>
      <c r="D10" s="2" t="s">
        <v>549</v>
      </c>
      <c r="E10" s="2" t="s">
        <v>556</v>
      </c>
      <c r="F10" s="2" t="s">
        <v>562</v>
      </c>
      <c r="H10" s="2" t="s">
        <v>563</v>
      </c>
      <c r="I10" s="2" t="s">
        <v>139</v>
      </c>
      <c r="J10" s="23" t="s">
        <v>144</v>
      </c>
      <c r="L10" s="2" t="s">
        <v>561</v>
      </c>
      <c r="M10" s="2" t="s">
        <v>548</v>
      </c>
      <c r="N10" s="2" t="s">
        <v>549</v>
      </c>
      <c r="O10" s="2" t="s">
        <v>556</v>
      </c>
      <c r="P10" s="2" t="s">
        <v>562</v>
      </c>
      <c r="R10" s="2" t="s">
        <v>563</v>
      </c>
      <c r="S10" s="2" t="s">
        <v>145</v>
      </c>
      <c r="T10" s="10" t="str">
        <f t="shared" si="0"/>
        <v>202511</v>
      </c>
      <c r="U10" s="23"/>
      <c r="V10" s="10" t="s">
        <v>139</v>
      </c>
      <c r="W10" s="10" t="s">
        <v>139</v>
      </c>
      <c r="X10" s="10" t="s">
        <v>139</v>
      </c>
      <c r="Y10" s="23" t="s">
        <v>144</v>
      </c>
      <c r="AB10" s="2" t="s">
        <v>561</v>
      </c>
      <c r="AC10" s="2" t="s">
        <v>548</v>
      </c>
      <c r="AD10" s="2" t="s">
        <v>549</v>
      </c>
      <c r="AE10" s="2" t="s">
        <v>556</v>
      </c>
      <c r="AF10" s="2" t="s">
        <v>562</v>
      </c>
      <c r="AH10" s="2" t="s">
        <v>563</v>
      </c>
      <c r="AI10" s="2" t="s">
        <v>145</v>
      </c>
      <c r="AJ10" s="10" t="str">
        <f t="shared" si="1"/>
        <v>202511</v>
      </c>
      <c r="AK10" s="10" t="s">
        <v>139</v>
      </c>
      <c r="AL10" s="10" t="s">
        <v>139</v>
      </c>
      <c r="AM10" s="10" t="s">
        <v>139</v>
      </c>
      <c r="AN10" s="23" t="s">
        <v>144</v>
      </c>
      <c r="AP10" s="10" t="str">
        <f t="shared" si="2"/>
        <v>JS711667_2025-11-01</v>
      </c>
      <c r="AQ10" s="2" t="s">
        <v>549</v>
      </c>
      <c r="AR10" s="2" t="s">
        <v>556</v>
      </c>
      <c r="AS10" s="2" t="s">
        <v>562</v>
      </c>
      <c r="AU10" s="2" t="s">
        <v>563</v>
      </c>
      <c r="AV10" s="2" t="s">
        <v>145</v>
      </c>
      <c r="AW10" s="10" t="s">
        <v>514</v>
      </c>
      <c r="AX10" s="10" t="s">
        <v>139</v>
      </c>
      <c r="AY10" s="10" t="s">
        <v>139</v>
      </c>
      <c r="AZ10" s="10" t="s">
        <v>139</v>
      </c>
      <c r="BA10" s="23" t="s">
        <v>144</v>
      </c>
    </row>
    <row r="11" spans="1:54" x14ac:dyDescent="0.25">
      <c r="B11" s="2" t="s">
        <v>561</v>
      </c>
      <c r="C11" s="2" t="s">
        <v>548</v>
      </c>
      <c r="D11" s="2" t="s">
        <v>552</v>
      </c>
      <c r="E11" s="2" t="s">
        <v>556</v>
      </c>
      <c r="F11" s="2" t="s">
        <v>564</v>
      </c>
      <c r="H11" s="2" t="s">
        <v>560</v>
      </c>
      <c r="I11" s="2" t="s">
        <v>139</v>
      </c>
      <c r="J11" s="23" t="s">
        <v>144</v>
      </c>
      <c r="L11" s="2" t="s">
        <v>561</v>
      </c>
      <c r="M11" s="2" t="s">
        <v>548</v>
      </c>
      <c r="N11" s="2" t="s">
        <v>552</v>
      </c>
      <c r="O11" s="2" t="s">
        <v>556</v>
      </c>
      <c r="P11" s="2" t="s">
        <v>564</v>
      </c>
      <c r="R11" s="2" t="s">
        <v>560</v>
      </c>
      <c r="S11" s="2" t="s">
        <v>145</v>
      </c>
      <c r="T11" s="10" t="str">
        <f t="shared" si="0"/>
        <v>202511</v>
      </c>
      <c r="U11" s="23"/>
      <c r="V11" s="10" t="s">
        <v>139</v>
      </c>
      <c r="W11" s="10" t="s">
        <v>139</v>
      </c>
      <c r="X11" s="10" t="s">
        <v>139</v>
      </c>
      <c r="Y11" s="23" t="s">
        <v>144</v>
      </c>
      <c r="AB11" s="2" t="s">
        <v>561</v>
      </c>
      <c r="AC11" s="2" t="s">
        <v>548</v>
      </c>
      <c r="AD11" s="2" t="s">
        <v>552</v>
      </c>
      <c r="AE11" s="2" t="s">
        <v>556</v>
      </c>
      <c r="AF11" s="2" t="s">
        <v>564</v>
      </c>
      <c r="AH11" s="2" t="s">
        <v>560</v>
      </c>
      <c r="AI11" s="2" t="s">
        <v>145</v>
      </c>
      <c r="AJ11" s="10" t="str">
        <f t="shared" si="1"/>
        <v>202511</v>
      </c>
      <c r="AK11" s="10" t="s">
        <v>139</v>
      </c>
      <c r="AL11" s="10" t="s">
        <v>139</v>
      </c>
      <c r="AM11" s="10" t="s">
        <v>139</v>
      </c>
      <c r="AN11" s="23" t="s">
        <v>144</v>
      </c>
      <c r="AP11" s="10" t="str">
        <f t="shared" si="2"/>
        <v>JS711667_2025-11-01</v>
      </c>
      <c r="AQ11" s="2" t="s">
        <v>552</v>
      </c>
      <c r="AR11" s="2" t="s">
        <v>556</v>
      </c>
      <c r="AS11" s="2" t="s">
        <v>564</v>
      </c>
      <c r="AU11" s="2" t="s">
        <v>560</v>
      </c>
      <c r="AV11" s="2" t="s">
        <v>145</v>
      </c>
      <c r="AW11" s="10" t="s">
        <v>514</v>
      </c>
      <c r="AX11" s="10" t="s">
        <v>139</v>
      </c>
      <c r="AY11" s="10" t="s">
        <v>139</v>
      </c>
      <c r="AZ11" s="10" t="s">
        <v>139</v>
      </c>
      <c r="BA11" s="23" t="s">
        <v>144</v>
      </c>
    </row>
    <row r="12" spans="1:54" x14ac:dyDescent="0.25">
      <c r="B12" s="2" t="s">
        <v>565</v>
      </c>
      <c r="C12" s="2" t="s">
        <v>212</v>
      </c>
      <c r="D12" s="2" t="s">
        <v>549</v>
      </c>
      <c r="E12" s="2" t="s">
        <v>566</v>
      </c>
      <c r="F12" s="2" t="s">
        <v>567</v>
      </c>
      <c r="G12" s="2" t="s">
        <v>357</v>
      </c>
      <c r="H12" s="2" t="s">
        <v>568</v>
      </c>
      <c r="I12" s="2" t="s">
        <v>139</v>
      </c>
      <c r="J12" s="23" t="s">
        <v>144</v>
      </c>
      <c r="L12" s="2" t="s">
        <v>565</v>
      </c>
      <c r="M12" s="2" t="s">
        <v>212</v>
      </c>
      <c r="N12" s="2" t="s">
        <v>549</v>
      </c>
      <c r="O12" s="2" t="s">
        <v>566</v>
      </c>
      <c r="P12" s="2" t="s">
        <v>567</v>
      </c>
      <c r="Q12" s="2" t="s">
        <v>357</v>
      </c>
      <c r="R12" s="2" t="s">
        <v>568</v>
      </c>
      <c r="S12" s="2" t="s">
        <v>145</v>
      </c>
      <c r="T12" s="10" t="str">
        <f t="shared" si="0"/>
        <v>202511</v>
      </c>
      <c r="U12" s="23"/>
      <c r="V12" s="10" t="s">
        <v>139</v>
      </c>
      <c r="W12" s="10" t="s">
        <v>139</v>
      </c>
      <c r="X12" s="10" t="s">
        <v>139</v>
      </c>
      <c r="Y12" s="23" t="s">
        <v>144</v>
      </c>
      <c r="AB12" s="2" t="s">
        <v>565</v>
      </c>
      <c r="AC12" s="2" t="s">
        <v>212</v>
      </c>
      <c r="AD12" s="2" t="s">
        <v>549</v>
      </c>
      <c r="AE12" s="2" t="s">
        <v>566</v>
      </c>
      <c r="AF12" s="2" t="s">
        <v>567</v>
      </c>
      <c r="AG12" s="2" t="s">
        <v>357</v>
      </c>
      <c r="AH12" s="2" t="s">
        <v>568</v>
      </c>
      <c r="AI12" s="2" t="s">
        <v>145</v>
      </c>
      <c r="AJ12" s="10" t="str">
        <f t="shared" si="1"/>
        <v>202511</v>
      </c>
      <c r="AK12" s="10" t="s">
        <v>139</v>
      </c>
      <c r="AL12" s="10" t="s">
        <v>139</v>
      </c>
      <c r="AM12" s="10" t="s">
        <v>139</v>
      </c>
      <c r="AN12" s="23" t="s">
        <v>144</v>
      </c>
      <c r="AP12" s="10" t="str">
        <f t="shared" si="2"/>
        <v>JA173382_2025-11-03</v>
      </c>
      <c r="AQ12" s="2" t="s">
        <v>549</v>
      </c>
      <c r="AR12" s="2" t="s">
        <v>566</v>
      </c>
      <c r="AS12" s="2" t="s">
        <v>567</v>
      </c>
      <c r="AT12" s="2" t="s">
        <v>357</v>
      </c>
      <c r="AU12" s="2" t="s">
        <v>568</v>
      </c>
      <c r="AV12" s="2" t="s">
        <v>145</v>
      </c>
      <c r="AW12" s="10" t="s">
        <v>514</v>
      </c>
      <c r="AX12" s="10" t="s">
        <v>139</v>
      </c>
      <c r="AY12" s="10" t="s">
        <v>139</v>
      </c>
      <c r="AZ12" s="10" t="s">
        <v>139</v>
      </c>
      <c r="BA12" s="23" t="s">
        <v>144</v>
      </c>
    </row>
    <row r="13" spans="1:54" x14ac:dyDescent="0.25">
      <c r="B13" s="2" t="s">
        <v>565</v>
      </c>
      <c r="C13" s="2" t="s">
        <v>212</v>
      </c>
      <c r="D13" s="2" t="s">
        <v>552</v>
      </c>
      <c r="E13" s="2" t="s">
        <v>566</v>
      </c>
      <c r="F13" s="2" t="s">
        <v>569</v>
      </c>
      <c r="G13" s="2" t="s">
        <v>357</v>
      </c>
      <c r="H13" s="2" t="s">
        <v>570</v>
      </c>
      <c r="I13" s="2" t="s">
        <v>139</v>
      </c>
      <c r="J13" s="23" t="s">
        <v>144</v>
      </c>
      <c r="L13" s="2" t="s">
        <v>565</v>
      </c>
      <c r="M13" s="2" t="s">
        <v>212</v>
      </c>
      <c r="N13" s="2" t="s">
        <v>552</v>
      </c>
      <c r="O13" s="2" t="s">
        <v>566</v>
      </c>
      <c r="P13" s="2" t="s">
        <v>569</v>
      </c>
      <c r="Q13" s="2" t="s">
        <v>357</v>
      </c>
      <c r="R13" s="2" t="s">
        <v>570</v>
      </c>
      <c r="S13" s="2" t="s">
        <v>145</v>
      </c>
      <c r="T13" s="10" t="str">
        <f t="shared" si="0"/>
        <v>202511</v>
      </c>
      <c r="U13" s="23"/>
      <c r="V13" s="10" t="s">
        <v>139</v>
      </c>
      <c r="W13" s="10" t="s">
        <v>139</v>
      </c>
      <c r="X13" s="10" t="s">
        <v>139</v>
      </c>
      <c r="Y13" s="23" t="s">
        <v>144</v>
      </c>
      <c r="AB13" s="2" t="s">
        <v>565</v>
      </c>
      <c r="AC13" s="2" t="s">
        <v>212</v>
      </c>
      <c r="AD13" s="2" t="s">
        <v>552</v>
      </c>
      <c r="AE13" s="2" t="s">
        <v>566</v>
      </c>
      <c r="AF13" s="2" t="s">
        <v>569</v>
      </c>
      <c r="AG13" s="2" t="s">
        <v>357</v>
      </c>
      <c r="AH13" s="2" t="s">
        <v>570</v>
      </c>
      <c r="AI13" s="2" t="s">
        <v>145</v>
      </c>
      <c r="AJ13" s="10" t="str">
        <f t="shared" si="1"/>
        <v>202511</v>
      </c>
      <c r="AK13" s="10" t="s">
        <v>139</v>
      </c>
      <c r="AL13" s="10" t="s">
        <v>139</v>
      </c>
      <c r="AM13" s="10" t="s">
        <v>139</v>
      </c>
      <c r="AN13" s="23" t="s">
        <v>144</v>
      </c>
      <c r="AP13" s="10" t="str">
        <f t="shared" si="2"/>
        <v>JA173382_2025-11-03</v>
      </c>
      <c r="AQ13" s="2" t="s">
        <v>552</v>
      </c>
      <c r="AR13" s="2" t="s">
        <v>566</v>
      </c>
      <c r="AS13" s="2" t="s">
        <v>569</v>
      </c>
      <c r="AT13" s="2" t="s">
        <v>357</v>
      </c>
      <c r="AU13" s="2" t="s">
        <v>570</v>
      </c>
      <c r="AV13" s="2" t="s">
        <v>145</v>
      </c>
      <c r="AW13" s="10" t="s">
        <v>514</v>
      </c>
      <c r="AX13" s="10" t="s">
        <v>139</v>
      </c>
      <c r="AY13" s="10" t="s">
        <v>139</v>
      </c>
      <c r="AZ13" s="10" t="s">
        <v>139</v>
      </c>
      <c r="BA13" s="23" t="s">
        <v>144</v>
      </c>
    </row>
    <row r="14" spans="1:54" x14ac:dyDescent="0.25">
      <c r="B14" s="2" t="s">
        <v>565</v>
      </c>
      <c r="C14" s="2" t="s">
        <v>212</v>
      </c>
      <c r="D14" s="2" t="s">
        <v>571</v>
      </c>
      <c r="E14" s="2" t="s">
        <v>572</v>
      </c>
      <c r="F14" s="2" t="s">
        <v>567</v>
      </c>
      <c r="H14" s="2" t="s">
        <v>573</v>
      </c>
      <c r="I14" s="2" t="s">
        <v>139</v>
      </c>
      <c r="J14" s="23" t="s">
        <v>144</v>
      </c>
      <c r="L14" s="2" t="s">
        <v>565</v>
      </c>
      <c r="M14" s="2" t="s">
        <v>212</v>
      </c>
      <c r="N14" s="2" t="s">
        <v>571</v>
      </c>
      <c r="O14" s="2" t="s">
        <v>572</v>
      </c>
      <c r="P14" s="2" t="s">
        <v>567</v>
      </c>
      <c r="R14" s="2" t="s">
        <v>573</v>
      </c>
      <c r="S14" s="2" t="s">
        <v>145</v>
      </c>
      <c r="T14" s="10" t="str">
        <f t="shared" si="0"/>
        <v>202511</v>
      </c>
      <c r="U14" s="23"/>
      <c r="V14" s="10" t="s">
        <v>139</v>
      </c>
      <c r="W14" s="10" t="s">
        <v>139</v>
      </c>
      <c r="X14" s="10" t="s">
        <v>139</v>
      </c>
      <c r="Y14" s="23" t="s">
        <v>144</v>
      </c>
      <c r="AB14" s="2" t="s">
        <v>565</v>
      </c>
      <c r="AC14" s="2" t="s">
        <v>212</v>
      </c>
      <c r="AD14" s="2" t="s">
        <v>571</v>
      </c>
      <c r="AE14" s="2" t="s">
        <v>572</v>
      </c>
      <c r="AF14" s="2" t="s">
        <v>567</v>
      </c>
      <c r="AH14" s="2" t="s">
        <v>573</v>
      </c>
      <c r="AI14" s="2" t="s">
        <v>145</v>
      </c>
      <c r="AJ14" s="10" t="str">
        <f t="shared" si="1"/>
        <v>202511</v>
      </c>
      <c r="AK14" s="10" t="s">
        <v>139</v>
      </c>
      <c r="AL14" s="10" t="s">
        <v>139</v>
      </c>
      <c r="AM14" s="10" t="s">
        <v>139</v>
      </c>
      <c r="AN14" s="23" t="s">
        <v>144</v>
      </c>
      <c r="AP14" s="10" t="str">
        <f t="shared" si="2"/>
        <v>JA173382_2025-11-03</v>
      </c>
      <c r="AQ14" s="2" t="s">
        <v>571</v>
      </c>
      <c r="AR14" s="2" t="s">
        <v>572</v>
      </c>
      <c r="AS14" s="2" t="s">
        <v>567</v>
      </c>
      <c r="AU14" s="2" t="s">
        <v>573</v>
      </c>
      <c r="AV14" s="2" t="s">
        <v>145</v>
      </c>
      <c r="AW14" s="10" t="s">
        <v>514</v>
      </c>
      <c r="AX14" s="10" t="s">
        <v>139</v>
      </c>
      <c r="AY14" s="10" t="s">
        <v>139</v>
      </c>
      <c r="AZ14" s="10" t="s">
        <v>139</v>
      </c>
      <c r="BA14" s="23" t="s">
        <v>144</v>
      </c>
    </row>
    <row r="15" spans="1:54" x14ac:dyDescent="0.25">
      <c r="B15" s="2" t="s">
        <v>565</v>
      </c>
      <c r="C15" s="2" t="s">
        <v>212</v>
      </c>
      <c r="D15" s="2" t="s">
        <v>574</v>
      </c>
      <c r="E15" s="2" t="s">
        <v>572</v>
      </c>
      <c r="F15" s="2" t="s">
        <v>569</v>
      </c>
      <c r="H15" s="2" t="s">
        <v>573</v>
      </c>
      <c r="I15" s="2" t="s">
        <v>139</v>
      </c>
      <c r="J15" s="23" t="s">
        <v>144</v>
      </c>
      <c r="L15" s="2" t="s">
        <v>565</v>
      </c>
      <c r="M15" s="2" t="s">
        <v>212</v>
      </c>
      <c r="N15" s="2" t="s">
        <v>574</v>
      </c>
      <c r="O15" s="2" t="s">
        <v>572</v>
      </c>
      <c r="P15" s="2" t="s">
        <v>569</v>
      </c>
      <c r="R15" s="2" t="s">
        <v>573</v>
      </c>
      <c r="S15" s="2" t="s">
        <v>145</v>
      </c>
      <c r="T15" s="10" t="str">
        <f t="shared" si="0"/>
        <v>202511</v>
      </c>
      <c r="U15" s="23"/>
      <c r="V15" s="10" t="s">
        <v>139</v>
      </c>
      <c r="W15" s="10" t="s">
        <v>139</v>
      </c>
      <c r="X15" s="10" t="s">
        <v>139</v>
      </c>
      <c r="Y15" s="23" t="s">
        <v>144</v>
      </c>
      <c r="AB15" s="2" t="s">
        <v>565</v>
      </c>
      <c r="AC15" s="2" t="s">
        <v>212</v>
      </c>
      <c r="AD15" s="2" t="s">
        <v>574</v>
      </c>
      <c r="AE15" s="2" t="s">
        <v>572</v>
      </c>
      <c r="AF15" s="2" t="s">
        <v>569</v>
      </c>
      <c r="AH15" s="2" t="s">
        <v>573</v>
      </c>
      <c r="AI15" s="2" t="s">
        <v>145</v>
      </c>
      <c r="AJ15" s="10" t="str">
        <f t="shared" si="1"/>
        <v>202511</v>
      </c>
      <c r="AK15" s="10" t="s">
        <v>139</v>
      </c>
      <c r="AL15" s="10" t="s">
        <v>139</v>
      </c>
      <c r="AM15" s="10" t="s">
        <v>139</v>
      </c>
      <c r="AN15" s="23" t="s">
        <v>144</v>
      </c>
      <c r="AP15" s="10" t="str">
        <f t="shared" si="2"/>
        <v>JA173382_2025-11-03</v>
      </c>
      <c r="AQ15" s="2" t="s">
        <v>574</v>
      </c>
      <c r="AR15" s="2" t="s">
        <v>572</v>
      </c>
      <c r="AS15" s="2" t="s">
        <v>569</v>
      </c>
      <c r="AU15" s="2" t="s">
        <v>573</v>
      </c>
      <c r="AV15" s="2" t="s">
        <v>145</v>
      </c>
      <c r="AW15" s="10" t="s">
        <v>514</v>
      </c>
      <c r="AX15" s="10" t="s">
        <v>139</v>
      </c>
      <c r="AY15" s="10" t="s">
        <v>139</v>
      </c>
      <c r="AZ15" s="10" t="s">
        <v>139</v>
      </c>
      <c r="BA15" s="23" t="s">
        <v>144</v>
      </c>
    </row>
    <row r="16" spans="1:54" s="6" customFormat="1" x14ac:dyDescent="0.25">
      <c r="K16" s="40"/>
      <c r="L16" s="9" t="s">
        <v>575</v>
      </c>
      <c r="T16" s="13"/>
      <c r="V16" s="13"/>
      <c r="W16" s="13"/>
      <c r="X16" s="13"/>
      <c r="Y16" s="41"/>
      <c r="AA16" s="40"/>
      <c r="AB16" s="9" t="s">
        <v>576</v>
      </c>
      <c r="AC16" s="9"/>
      <c r="AD16" s="9"/>
      <c r="AE16" s="9"/>
      <c r="AF16" s="9"/>
      <c r="AG16" s="9"/>
      <c r="AH16" s="9"/>
      <c r="AI16" s="9"/>
      <c r="AJ16" s="16"/>
      <c r="AK16" s="16"/>
      <c r="AL16" s="16"/>
      <c r="AO16" s="40"/>
      <c r="AP16" s="9" t="s">
        <v>577</v>
      </c>
      <c r="AX16" s="16"/>
      <c r="AY16" s="16"/>
      <c r="BB16" s="40"/>
    </row>
    <row r="17" spans="1:53" x14ac:dyDescent="0.25">
      <c r="A17" s="5" t="s">
        <v>190</v>
      </c>
      <c r="B17" s="2" t="s">
        <v>547</v>
      </c>
      <c r="C17" s="2" t="s">
        <v>548</v>
      </c>
      <c r="D17" s="2" t="s">
        <v>549</v>
      </c>
      <c r="F17" s="2" t="s">
        <v>550</v>
      </c>
      <c r="H17" s="2" t="s">
        <v>551</v>
      </c>
      <c r="I17" s="27" t="s">
        <v>190</v>
      </c>
      <c r="J17" s="27" t="s">
        <v>192</v>
      </c>
      <c r="L17" s="8" t="s">
        <v>547</v>
      </c>
      <c r="M17" s="8" t="s">
        <v>548</v>
      </c>
      <c r="N17" s="8" t="s">
        <v>549</v>
      </c>
      <c r="O17" s="8"/>
      <c r="P17" s="8" t="s">
        <v>550</v>
      </c>
      <c r="Q17" s="8"/>
      <c r="R17" s="8" t="s">
        <v>551</v>
      </c>
      <c r="S17" s="8" t="s">
        <v>145</v>
      </c>
      <c r="T17" s="34" t="str">
        <f>YEAR(M17) &amp; RIGHT("0" &amp; MONTH(M17), 2)</f>
        <v>202511</v>
      </c>
      <c r="U17" s="47"/>
      <c r="V17" s="34" t="s">
        <v>139</v>
      </c>
      <c r="W17" s="34" t="s">
        <v>139</v>
      </c>
      <c r="X17" s="34" t="s">
        <v>139</v>
      </c>
      <c r="Y17" s="47" t="s">
        <v>144</v>
      </c>
      <c r="Z17" s="23"/>
      <c r="AB17" s="8" t="s">
        <v>547</v>
      </c>
      <c r="AC17" s="8" t="s">
        <v>548</v>
      </c>
      <c r="AD17" s="8" t="s">
        <v>549</v>
      </c>
      <c r="AE17" s="8"/>
      <c r="AF17" s="8" t="s">
        <v>550</v>
      </c>
      <c r="AG17" s="8"/>
      <c r="AH17" s="8" t="s">
        <v>551</v>
      </c>
      <c r="AI17" s="8" t="s">
        <v>145</v>
      </c>
      <c r="AJ17" s="34" t="str">
        <f>YEAR(AC17) &amp; RIGHT("0" &amp; MONTH(AC17), 2)</f>
        <v>202511</v>
      </c>
      <c r="AK17" s="34" t="s">
        <v>139</v>
      </c>
      <c r="AL17" s="34" t="s">
        <v>139</v>
      </c>
      <c r="AM17" s="34" t="s">
        <v>139</v>
      </c>
      <c r="AN17" s="47" t="s">
        <v>144</v>
      </c>
      <c r="AP17" s="34" t="str">
        <f t="shared" si="2"/>
        <v>JC485950_2025-11-01</v>
      </c>
      <c r="AQ17" s="8" t="s">
        <v>549</v>
      </c>
      <c r="AR17" s="8"/>
      <c r="AS17" s="8" t="s">
        <v>550</v>
      </c>
      <c r="AT17" s="8"/>
      <c r="AU17" s="8" t="s">
        <v>551</v>
      </c>
      <c r="AV17" s="8" t="s">
        <v>145</v>
      </c>
      <c r="AW17" s="34" t="s">
        <v>514</v>
      </c>
      <c r="AX17" s="34" t="s">
        <v>139</v>
      </c>
      <c r="AY17" s="34" t="s">
        <v>139</v>
      </c>
      <c r="AZ17" s="34" t="s">
        <v>139</v>
      </c>
      <c r="BA17" s="47" t="s">
        <v>144</v>
      </c>
    </row>
    <row r="18" spans="1:53" x14ac:dyDescent="0.25">
      <c r="B18" s="2" t="s">
        <v>547</v>
      </c>
      <c r="C18" s="2" t="s">
        <v>548</v>
      </c>
      <c r="D18" s="2" t="s">
        <v>552</v>
      </c>
      <c r="F18" s="2" t="s">
        <v>553</v>
      </c>
      <c r="H18" s="2" t="s">
        <v>554</v>
      </c>
      <c r="I18" s="27" t="s">
        <v>190</v>
      </c>
      <c r="J18" s="27" t="s">
        <v>192</v>
      </c>
      <c r="L18" s="8" t="s">
        <v>547</v>
      </c>
      <c r="M18" s="8" t="s">
        <v>548</v>
      </c>
      <c r="N18" s="8" t="s">
        <v>552</v>
      </c>
      <c r="O18" s="8"/>
      <c r="P18" s="8" t="s">
        <v>553</v>
      </c>
      <c r="Q18" s="8"/>
      <c r="R18" s="8" t="s">
        <v>554</v>
      </c>
      <c r="S18" s="8" t="s">
        <v>145</v>
      </c>
      <c r="T18" s="34" t="str">
        <f t="shared" ref="T18:T26" si="3">YEAR(M18) &amp; RIGHT("0" &amp; MONTH(M18), 2)</f>
        <v>202511</v>
      </c>
      <c r="U18" s="47"/>
      <c r="V18" s="34" t="s">
        <v>139</v>
      </c>
      <c r="W18" s="34" t="s">
        <v>139</v>
      </c>
      <c r="X18" s="34" t="s">
        <v>139</v>
      </c>
      <c r="Y18" s="47" t="s">
        <v>144</v>
      </c>
      <c r="Z18" s="23"/>
      <c r="AB18" s="8" t="s">
        <v>547</v>
      </c>
      <c r="AC18" s="8" t="s">
        <v>548</v>
      </c>
      <c r="AD18" s="8" t="s">
        <v>552</v>
      </c>
      <c r="AE18" s="8"/>
      <c r="AF18" s="8" t="s">
        <v>553</v>
      </c>
      <c r="AG18" s="8"/>
      <c r="AH18" s="8" t="s">
        <v>554</v>
      </c>
      <c r="AI18" s="8" t="s">
        <v>145</v>
      </c>
      <c r="AJ18" s="34" t="str">
        <f t="shared" ref="AJ18:AJ39" si="4">YEAR(AC18) &amp; RIGHT("0" &amp; MONTH(AC18), 2)</f>
        <v>202511</v>
      </c>
      <c r="AK18" s="34" t="s">
        <v>139</v>
      </c>
      <c r="AL18" s="34" t="s">
        <v>139</v>
      </c>
      <c r="AM18" s="34" t="s">
        <v>139</v>
      </c>
      <c r="AN18" s="47" t="s">
        <v>144</v>
      </c>
      <c r="AP18" s="34" t="str">
        <f t="shared" si="2"/>
        <v>JC485950_2025-11-01</v>
      </c>
      <c r="AQ18" s="8" t="s">
        <v>552</v>
      </c>
      <c r="AR18" s="8"/>
      <c r="AS18" s="8" t="s">
        <v>553</v>
      </c>
      <c r="AT18" s="8"/>
      <c r="AU18" s="8" t="s">
        <v>554</v>
      </c>
      <c r="AV18" s="8" t="s">
        <v>145</v>
      </c>
      <c r="AW18" s="34" t="s">
        <v>514</v>
      </c>
      <c r="AX18" s="34" t="s">
        <v>139</v>
      </c>
      <c r="AY18" s="34" t="s">
        <v>139</v>
      </c>
      <c r="AZ18" s="34" t="s">
        <v>139</v>
      </c>
      <c r="BA18" s="47" t="s">
        <v>144</v>
      </c>
    </row>
    <row r="19" spans="1:53" x14ac:dyDescent="0.25">
      <c r="B19" s="7" t="s">
        <v>547</v>
      </c>
      <c r="C19" s="7" t="s">
        <v>548</v>
      </c>
      <c r="D19" s="7" t="s">
        <v>571</v>
      </c>
      <c r="E19" s="7"/>
      <c r="F19" s="7" t="s">
        <v>550</v>
      </c>
      <c r="G19" s="7"/>
      <c r="H19" s="7" t="s">
        <v>568</v>
      </c>
      <c r="I19" s="27" t="s">
        <v>190</v>
      </c>
      <c r="J19" s="27" t="s">
        <v>192</v>
      </c>
      <c r="L19" s="2" t="s">
        <v>555</v>
      </c>
      <c r="M19" s="2" t="s">
        <v>548</v>
      </c>
      <c r="N19" s="2" t="s">
        <v>549</v>
      </c>
      <c r="O19" s="2" t="s">
        <v>556</v>
      </c>
      <c r="P19" s="2" t="s">
        <v>557</v>
      </c>
      <c r="R19" s="2" t="s">
        <v>558</v>
      </c>
      <c r="S19" s="2" t="s">
        <v>145</v>
      </c>
      <c r="T19" s="10" t="str">
        <f t="shared" si="3"/>
        <v>202511</v>
      </c>
      <c r="U19" s="23"/>
      <c r="V19" s="10" t="s">
        <v>139</v>
      </c>
      <c r="W19" s="10" t="s">
        <v>139</v>
      </c>
      <c r="X19" s="14" t="s">
        <v>190</v>
      </c>
      <c r="Y19" s="25" t="s">
        <v>192</v>
      </c>
      <c r="AB19" s="2" t="s">
        <v>555</v>
      </c>
      <c r="AC19" s="2" t="s">
        <v>548</v>
      </c>
      <c r="AD19" s="2" t="s">
        <v>549</v>
      </c>
      <c r="AE19" s="2" t="s">
        <v>556</v>
      </c>
      <c r="AF19" s="2" t="s">
        <v>557</v>
      </c>
      <c r="AH19" s="2" t="s">
        <v>558</v>
      </c>
      <c r="AI19" s="2" t="s">
        <v>145</v>
      </c>
      <c r="AJ19" s="10" t="str">
        <f t="shared" si="4"/>
        <v>202511</v>
      </c>
      <c r="AK19" s="10" t="s">
        <v>139</v>
      </c>
      <c r="AL19" s="10" t="s">
        <v>139</v>
      </c>
      <c r="AM19" s="7" t="s">
        <v>190</v>
      </c>
      <c r="AN19" s="7" t="s">
        <v>192</v>
      </c>
      <c r="AP19" s="38" t="str">
        <f t="shared" si="2"/>
        <v>JS711666_2025-11-01</v>
      </c>
      <c r="AQ19" s="27" t="s">
        <v>549</v>
      </c>
      <c r="AR19" s="27" t="s">
        <v>556</v>
      </c>
      <c r="AS19" s="27" t="s">
        <v>557</v>
      </c>
      <c r="AT19" s="27"/>
      <c r="AU19" s="27" t="s">
        <v>558</v>
      </c>
      <c r="AV19" s="27" t="s">
        <v>145</v>
      </c>
      <c r="AW19" s="38" t="s">
        <v>514</v>
      </c>
      <c r="AX19" s="38" t="s">
        <v>139</v>
      </c>
      <c r="AY19" s="38" t="s">
        <v>139</v>
      </c>
      <c r="AZ19" s="14" t="s">
        <v>190</v>
      </c>
      <c r="BA19" s="25" t="s">
        <v>192</v>
      </c>
    </row>
    <row r="20" spans="1:53" x14ac:dyDescent="0.25">
      <c r="B20" s="7" t="s">
        <v>547</v>
      </c>
      <c r="C20" s="7" t="s">
        <v>548</v>
      </c>
      <c r="D20" s="7" t="s">
        <v>574</v>
      </c>
      <c r="E20" s="7"/>
      <c r="F20" s="7" t="s">
        <v>553</v>
      </c>
      <c r="G20" s="7"/>
      <c r="H20" s="7" t="s">
        <v>568</v>
      </c>
      <c r="I20" s="27" t="s">
        <v>190</v>
      </c>
      <c r="J20" s="27" t="s">
        <v>192</v>
      </c>
      <c r="L20" s="2" t="s">
        <v>555</v>
      </c>
      <c r="M20" s="2" t="s">
        <v>548</v>
      </c>
      <c r="N20" s="2" t="s">
        <v>552</v>
      </c>
      <c r="O20" s="2" t="s">
        <v>556</v>
      </c>
      <c r="P20" s="2" t="s">
        <v>559</v>
      </c>
      <c r="R20" s="2" t="s">
        <v>560</v>
      </c>
      <c r="S20" s="2" t="s">
        <v>145</v>
      </c>
      <c r="T20" s="10" t="str">
        <f t="shared" si="3"/>
        <v>202511</v>
      </c>
      <c r="U20" s="23"/>
      <c r="V20" s="10" t="s">
        <v>139</v>
      </c>
      <c r="W20" s="10" t="s">
        <v>139</v>
      </c>
      <c r="X20" s="14" t="s">
        <v>190</v>
      </c>
      <c r="Y20" s="25" t="s">
        <v>192</v>
      </c>
      <c r="AB20" s="2" t="s">
        <v>555</v>
      </c>
      <c r="AC20" s="2" t="s">
        <v>548</v>
      </c>
      <c r="AD20" s="2" t="s">
        <v>552</v>
      </c>
      <c r="AE20" s="2" t="s">
        <v>556</v>
      </c>
      <c r="AF20" s="2" t="s">
        <v>559</v>
      </c>
      <c r="AH20" s="2" t="s">
        <v>560</v>
      </c>
      <c r="AI20" s="2" t="s">
        <v>145</v>
      </c>
      <c r="AJ20" s="10" t="str">
        <f t="shared" si="4"/>
        <v>202511</v>
      </c>
      <c r="AK20" s="10" t="s">
        <v>139</v>
      </c>
      <c r="AL20" s="10" t="s">
        <v>139</v>
      </c>
      <c r="AM20" s="7" t="s">
        <v>190</v>
      </c>
      <c r="AN20" s="7" t="s">
        <v>192</v>
      </c>
      <c r="AP20" s="38" t="str">
        <f t="shared" si="2"/>
        <v>JS711666_2025-11-01</v>
      </c>
      <c r="AQ20" s="27" t="s">
        <v>552</v>
      </c>
      <c r="AR20" s="27" t="s">
        <v>556</v>
      </c>
      <c r="AS20" s="27" t="s">
        <v>559</v>
      </c>
      <c r="AT20" s="27"/>
      <c r="AU20" s="27" t="s">
        <v>560</v>
      </c>
      <c r="AV20" s="27" t="s">
        <v>145</v>
      </c>
      <c r="AW20" s="38" t="s">
        <v>514</v>
      </c>
      <c r="AX20" s="38" t="s">
        <v>139</v>
      </c>
      <c r="AY20" s="38" t="s">
        <v>139</v>
      </c>
      <c r="AZ20" s="14" t="s">
        <v>190</v>
      </c>
      <c r="BA20" s="25" t="s">
        <v>192</v>
      </c>
    </row>
    <row r="21" spans="1:53" x14ac:dyDescent="0.25">
      <c r="B21" s="7" t="s">
        <v>578</v>
      </c>
      <c r="C21" s="7" t="s">
        <v>579</v>
      </c>
      <c r="D21" s="7" t="s">
        <v>549</v>
      </c>
      <c r="E21" s="7"/>
      <c r="F21" s="7" t="s">
        <v>580</v>
      </c>
      <c r="G21" s="7"/>
      <c r="H21" s="7" t="s">
        <v>551</v>
      </c>
      <c r="I21" s="27" t="s">
        <v>190</v>
      </c>
      <c r="J21" s="27" t="s">
        <v>192</v>
      </c>
      <c r="L21" s="2" t="s">
        <v>561</v>
      </c>
      <c r="M21" s="2" t="s">
        <v>548</v>
      </c>
      <c r="N21" s="2" t="s">
        <v>549</v>
      </c>
      <c r="O21" s="2" t="s">
        <v>556</v>
      </c>
      <c r="P21" s="2" t="s">
        <v>562</v>
      </c>
      <c r="R21" s="2" t="s">
        <v>563</v>
      </c>
      <c r="S21" s="2" t="s">
        <v>145</v>
      </c>
      <c r="T21" s="10" t="str">
        <f t="shared" si="3"/>
        <v>202511</v>
      </c>
      <c r="U21" s="23"/>
      <c r="V21" s="10" t="s">
        <v>139</v>
      </c>
      <c r="W21" s="10" t="s">
        <v>139</v>
      </c>
      <c r="X21" s="14" t="s">
        <v>190</v>
      </c>
      <c r="Y21" s="25" t="s">
        <v>192</v>
      </c>
      <c r="AB21" s="2" t="s">
        <v>561</v>
      </c>
      <c r="AC21" s="2" t="s">
        <v>548</v>
      </c>
      <c r="AD21" s="2" t="s">
        <v>549</v>
      </c>
      <c r="AE21" s="2" t="s">
        <v>556</v>
      </c>
      <c r="AF21" s="2" t="s">
        <v>562</v>
      </c>
      <c r="AH21" s="2" t="s">
        <v>563</v>
      </c>
      <c r="AI21" s="2" t="s">
        <v>145</v>
      </c>
      <c r="AJ21" s="10" t="str">
        <f t="shared" si="4"/>
        <v>202511</v>
      </c>
      <c r="AK21" s="10" t="s">
        <v>139</v>
      </c>
      <c r="AL21" s="10" t="s">
        <v>139</v>
      </c>
      <c r="AM21" s="7" t="s">
        <v>190</v>
      </c>
      <c r="AN21" s="7" t="s">
        <v>192</v>
      </c>
      <c r="AP21" s="38" t="str">
        <f t="shared" si="2"/>
        <v>JS711667_2025-11-01</v>
      </c>
      <c r="AQ21" s="27" t="s">
        <v>549</v>
      </c>
      <c r="AR21" s="27" t="s">
        <v>556</v>
      </c>
      <c r="AS21" s="27" t="s">
        <v>562</v>
      </c>
      <c r="AT21" s="27"/>
      <c r="AU21" s="27" t="s">
        <v>563</v>
      </c>
      <c r="AV21" s="27" t="s">
        <v>145</v>
      </c>
      <c r="AW21" s="38" t="s">
        <v>514</v>
      </c>
      <c r="AX21" s="38" t="s">
        <v>139</v>
      </c>
      <c r="AY21" s="38" t="s">
        <v>139</v>
      </c>
      <c r="AZ21" s="14" t="s">
        <v>190</v>
      </c>
      <c r="BA21" s="25" t="s">
        <v>192</v>
      </c>
    </row>
    <row r="22" spans="1:53" x14ac:dyDescent="0.25">
      <c r="B22" s="7" t="s">
        <v>578</v>
      </c>
      <c r="C22" s="7" t="s">
        <v>579</v>
      </c>
      <c r="D22" s="7" t="s">
        <v>552</v>
      </c>
      <c r="E22" s="7"/>
      <c r="F22" s="7" t="s">
        <v>581</v>
      </c>
      <c r="G22" s="7"/>
      <c r="H22" s="7" t="s">
        <v>554</v>
      </c>
      <c r="I22" s="27" t="s">
        <v>190</v>
      </c>
      <c r="J22" s="27" t="s">
        <v>192</v>
      </c>
      <c r="L22" s="2" t="s">
        <v>561</v>
      </c>
      <c r="M22" s="2" t="s">
        <v>548</v>
      </c>
      <c r="N22" s="2" t="s">
        <v>552</v>
      </c>
      <c r="O22" s="2" t="s">
        <v>556</v>
      </c>
      <c r="P22" s="2" t="s">
        <v>564</v>
      </c>
      <c r="R22" s="2" t="s">
        <v>560</v>
      </c>
      <c r="S22" s="2" t="s">
        <v>145</v>
      </c>
      <c r="T22" s="10" t="str">
        <f t="shared" si="3"/>
        <v>202511</v>
      </c>
      <c r="U22" s="23"/>
      <c r="V22" s="10" t="s">
        <v>139</v>
      </c>
      <c r="W22" s="10" t="s">
        <v>139</v>
      </c>
      <c r="X22" s="14" t="s">
        <v>190</v>
      </c>
      <c r="Y22" s="25" t="s">
        <v>192</v>
      </c>
      <c r="AB22" s="2" t="s">
        <v>561</v>
      </c>
      <c r="AC22" s="2" t="s">
        <v>548</v>
      </c>
      <c r="AD22" s="2" t="s">
        <v>552</v>
      </c>
      <c r="AE22" s="2" t="s">
        <v>556</v>
      </c>
      <c r="AF22" s="2" t="s">
        <v>564</v>
      </c>
      <c r="AH22" s="2" t="s">
        <v>560</v>
      </c>
      <c r="AI22" s="2" t="s">
        <v>145</v>
      </c>
      <c r="AJ22" s="10" t="str">
        <f t="shared" si="4"/>
        <v>202511</v>
      </c>
      <c r="AK22" s="10" t="s">
        <v>139</v>
      </c>
      <c r="AL22" s="10" t="s">
        <v>139</v>
      </c>
      <c r="AM22" s="7" t="s">
        <v>190</v>
      </c>
      <c r="AN22" s="7" t="s">
        <v>192</v>
      </c>
      <c r="AP22" s="38" t="str">
        <f t="shared" si="2"/>
        <v>JS711667_2025-11-01</v>
      </c>
      <c r="AQ22" s="27" t="s">
        <v>552</v>
      </c>
      <c r="AR22" s="27" t="s">
        <v>556</v>
      </c>
      <c r="AS22" s="27" t="s">
        <v>564</v>
      </c>
      <c r="AT22" s="27"/>
      <c r="AU22" s="27" t="s">
        <v>560</v>
      </c>
      <c r="AV22" s="27" t="s">
        <v>145</v>
      </c>
      <c r="AW22" s="38" t="s">
        <v>514</v>
      </c>
      <c r="AX22" s="38" t="s">
        <v>139</v>
      </c>
      <c r="AY22" s="38" t="s">
        <v>139</v>
      </c>
      <c r="AZ22" s="14" t="s">
        <v>190</v>
      </c>
      <c r="BA22" s="25" t="s">
        <v>192</v>
      </c>
    </row>
    <row r="23" spans="1:53" x14ac:dyDescent="0.25">
      <c r="B23" s="7" t="s">
        <v>582</v>
      </c>
      <c r="C23" s="7" t="s">
        <v>212</v>
      </c>
      <c r="D23" s="7" t="s">
        <v>549</v>
      </c>
      <c r="E23" s="7"/>
      <c r="F23" s="7" t="s">
        <v>583</v>
      </c>
      <c r="G23" s="7" t="s">
        <v>584</v>
      </c>
      <c r="H23" s="7" t="s">
        <v>570</v>
      </c>
      <c r="I23" s="27" t="s">
        <v>190</v>
      </c>
      <c r="J23" s="27" t="s">
        <v>192</v>
      </c>
      <c r="L23" s="2" t="s">
        <v>565</v>
      </c>
      <c r="M23" s="2" t="s">
        <v>212</v>
      </c>
      <c r="N23" s="2" t="s">
        <v>549</v>
      </c>
      <c r="O23" s="2" t="s">
        <v>566</v>
      </c>
      <c r="P23" s="2" t="s">
        <v>567</v>
      </c>
      <c r="Q23" s="2" t="s">
        <v>357</v>
      </c>
      <c r="R23" s="2" t="s">
        <v>568</v>
      </c>
      <c r="S23" s="2" t="s">
        <v>145</v>
      </c>
      <c r="T23" s="10" t="str">
        <f t="shared" si="3"/>
        <v>202511</v>
      </c>
      <c r="U23" s="23"/>
      <c r="V23" s="10" t="s">
        <v>139</v>
      </c>
      <c r="W23" s="10" t="s">
        <v>139</v>
      </c>
      <c r="X23" s="14" t="s">
        <v>190</v>
      </c>
      <c r="Y23" s="25" t="s">
        <v>192</v>
      </c>
      <c r="AB23" s="2" t="s">
        <v>565</v>
      </c>
      <c r="AC23" s="2" t="s">
        <v>212</v>
      </c>
      <c r="AD23" s="2" t="s">
        <v>549</v>
      </c>
      <c r="AE23" s="2" t="s">
        <v>566</v>
      </c>
      <c r="AF23" s="2" t="s">
        <v>567</v>
      </c>
      <c r="AG23" s="2" t="s">
        <v>357</v>
      </c>
      <c r="AH23" s="2" t="s">
        <v>568</v>
      </c>
      <c r="AI23" s="2" t="s">
        <v>145</v>
      </c>
      <c r="AJ23" s="10" t="str">
        <f t="shared" si="4"/>
        <v>202511</v>
      </c>
      <c r="AK23" s="10" t="s">
        <v>139</v>
      </c>
      <c r="AL23" s="10" t="s">
        <v>139</v>
      </c>
      <c r="AM23" s="7" t="s">
        <v>190</v>
      </c>
      <c r="AN23" s="7" t="s">
        <v>192</v>
      </c>
      <c r="AP23" s="38" t="str">
        <f t="shared" si="2"/>
        <v>JA173382_2025-11-03</v>
      </c>
      <c r="AQ23" s="27" t="s">
        <v>549</v>
      </c>
      <c r="AR23" s="27" t="s">
        <v>566</v>
      </c>
      <c r="AS23" s="27" t="s">
        <v>567</v>
      </c>
      <c r="AT23" s="27" t="s">
        <v>357</v>
      </c>
      <c r="AU23" s="27" t="s">
        <v>568</v>
      </c>
      <c r="AV23" s="27" t="s">
        <v>145</v>
      </c>
      <c r="AW23" s="38" t="s">
        <v>514</v>
      </c>
      <c r="AX23" s="38" t="s">
        <v>139</v>
      </c>
      <c r="AY23" s="38" t="s">
        <v>139</v>
      </c>
      <c r="AZ23" s="14" t="s">
        <v>190</v>
      </c>
      <c r="BA23" s="25" t="s">
        <v>192</v>
      </c>
    </row>
    <row r="24" spans="1:53" x14ac:dyDescent="0.25">
      <c r="B24" s="7" t="s">
        <v>582</v>
      </c>
      <c r="C24" s="7" t="s">
        <v>212</v>
      </c>
      <c r="D24" s="7" t="s">
        <v>552</v>
      </c>
      <c r="E24" s="7" t="s">
        <v>584</v>
      </c>
      <c r="F24" s="7" t="s">
        <v>585</v>
      </c>
      <c r="G24" s="7"/>
      <c r="H24" s="7" t="s">
        <v>586</v>
      </c>
      <c r="I24" s="27" t="s">
        <v>190</v>
      </c>
      <c r="J24" s="27" t="s">
        <v>192</v>
      </c>
      <c r="L24" s="2" t="s">
        <v>565</v>
      </c>
      <c r="M24" s="2" t="s">
        <v>212</v>
      </c>
      <c r="N24" s="2" t="s">
        <v>552</v>
      </c>
      <c r="O24" s="2" t="s">
        <v>566</v>
      </c>
      <c r="P24" s="2" t="s">
        <v>569</v>
      </c>
      <c r="Q24" s="2" t="s">
        <v>357</v>
      </c>
      <c r="R24" s="2" t="s">
        <v>570</v>
      </c>
      <c r="S24" s="2" t="s">
        <v>145</v>
      </c>
      <c r="T24" s="10" t="str">
        <f t="shared" si="3"/>
        <v>202511</v>
      </c>
      <c r="U24" s="23"/>
      <c r="V24" s="10" t="s">
        <v>139</v>
      </c>
      <c r="W24" s="10" t="s">
        <v>139</v>
      </c>
      <c r="X24" s="14" t="s">
        <v>190</v>
      </c>
      <c r="Y24" s="25" t="s">
        <v>192</v>
      </c>
      <c r="AB24" s="2" t="s">
        <v>565</v>
      </c>
      <c r="AC24" s="2" t="s">
        <v>212</v>
      </c>
      <c r="AD24" s="2" t="s">
        <v>552</v>
      </c>
      <c r="AE24" s="2" t="s">
        <v>566</v>
      </c>
      <c r="AF24" s="2" t="s">
        <v>569</v>
      </c>
      <c r="AG24" s="2" t="s">
        <v>357</v>
      </c>
      <c r="AH24" s="2" t="s">
        <v>570</v>
      </c>
      <c r="AI24" s="2" t="s">
        <v>145</v>
      </c>
      <c r="AJ24" s="10" t="str">
        <f t="shared" si="4"/>
        <v>202511</v>
      </c>
      <c r="AK24" s="10" t="s">
        <v>139</v>
      </c>
      <c r="AL24" s="10" t="s">
        <v>139</v>
      </c>
      <c r="AM24" s="7" t="s">
        <v>190</v>
      </c>
      <c r="AN24" s="7" t="s">
        <v>192</v>
      </c>
      <c r="AP24" s="38" t="str">
        <f t="shared" si="2"/>
        <v>JA173382_2025-11-03</v>
      </c>
      <c r="AQ24" s="27" t="s">
        <v>552</v>
      </c>
      <c r="AR24" s="27" t="s">
        <v>566</v>
      </c>
      <c r="AS24" s="27" t="s">
        <v>569</v>
      </c>
      <c r="AT24" s="27" t="s">
        <v>357</v>
      </c>
      <c r="AU24" s="27" t="s">
        <v>570</v>
      </c>
      <c r="AV24" s="27" t="s">
        <v>145</v>
      </c>
      <c r="AW24" s="38" t="s">
        <v>514</v>
      </c>
      <c r="AX24" s="38" t="s">
        <v>139</v>
      </c>
      <c r="AY24" s="38" t="s">
        <v>139</v>
      </c>
      <c r="AZ24" s="14" t="s">
        <v>190</v>
      </c>
      <c r="BA24" s="25" t="s">
        <v>192</v>
      </c>
    </row>
    <row r="25" spans="1:53" x14ac:dyDescent="0.25">
      <c r="B25" s="7" t="s">
        <v>582</v>
      </c>
      <c r="C25" s="7" t="s">
        <v>212</v>
      </c>
      <c r="D25" s="7" t="s">
        <v>571</v>
      </c>
      <c r="E25" s="7" t="s">
        <v>584</v>
      </c>
      <c r="F25" s="7" t="s">
        <v>587</v>
      </c>
      <c r="G25" s="7"/>
      <c r="H25" s="7" t="s">
        <v>588</v>
      </c>
      <c r="I25" s="27" t="s">
        <v>190</v>
      </c>
      <c r="J25" s="27" t="s">
        <v>192</v>
      </c>
      <c r="L25" s="2" t="s">
        <v>565</v>
      </c>
      <c r="M25" s="2" t="s">
        <v>212</v>
      </c>
      <c r="N25" s="2" t="s">
        <v>571</v>
      </c>
      <c r="O25" s="2" t="s">
        <v>572</v>
      </c>
      <c r="P25" s="2" t="s">
        <v>567</v>
      </c>
      <c r="R25" s="2" t="s">
        <v>573</v>
      </c>
      <c r="S25" s="2" t="s">
        <v>145</v>
      </c>
      <c r="T25" s="10" t="str">
        <f t="shared" si="3"/>
        <v>202511</v>
      </c>
      <c r="U25" s="23"/>
      <c r="V25" s="10" t="s">
        <v>139</v>
      </c>
      <c r="W25" s="10" t="s">
        <v>139</v>
      </c>
      <c r="X25" s="14" t="s">
        <v>190</v>
      </c>
      <c r="Y25" s="25" t="s">
        <v>192</v>
      </c>
      <c r="AB25" s="2" t="s">
        <v>565</v>
      </c>
      <c r="AC25" s="2" t="s">
        <v>212</v>
      </c>
      <c r="AD25" s="2" t="s">
        <v>571</v>
      </c>
      <c r="AE25" s="2" t="s">
        <v>572</v>
      </c>
      <c r="AF25" s="2" t="s">
        <v>567</v>
      </c>
      <c r="AH25" s="2" t="s">
        <v>573</v>
      </c>
      <c r="AI25" s="2" t="s">
        <v>145</v>
      </c>
      <c r="AJ25" s="10" t="str">
        <f t="shared" si="4"/>
        <v>202511</v>
      </c>
      <c r="AK25" s="10" t="s">
        <v>139</v>
      </c>
      <c r="AL25" s="10" t="s">
        <v>139</v>
      </c>
      <c r="AM25" s="7" t="s">
        <v>190</v>
      </c>
      <c r="AN25" s="7" t="s">
        <v>192</v>
      </c>
      <c r="AP25" s="38" t="str">
        <f t="shared" si="2"/>
        <v>JA173382_2025-11-03</v>
      </c>
      <c r="AQ25" s="27" t="s">
        <v>571</v>
      </c>
      <c r="AR25" s="27" t="s">
        <v>572</v>
      </c>
      <c r="AS25" s="27" t="s">
        <v>567</v>
      </c>
      <c r="AT25" s="27"/>
      <c r="AU25" s="27" t="s">
        <v>573</v>
      </c>
      <c r="AV25" s="27" t="s">
        <v>145</v>
      </c>
      <c r="AW25" s="38" t="s">
        <v>514</v>
      </c>
      <c r="AX25" s="38" t="s">
        <v>139</v>
      </c>
      <c r="AY25" s="38" t="s">
        <v>139</v>
      </c>
      <c r="AZ25" s="14" t="s">
        <v>190</v>
      </c>
      <c r="BA25" s="25" t="s">
        <v>192</v>
      </c>
    </row>
    <row r="26" spans="1:53" x14ac:dyDescent="0.25">
      <c r="B26" s="7" t="s">
        <v>582</v>
      </c>
      <c r="C26" s="7" t="s">
        <v>212</v>
      </c>
      <c r="D26" s="7" t="s">
        <v>574</v>
      </c>
      <c r="E26" s="7" t="s">
        <v>584</v>
      </c>
      <c r="F26" s="7" t="s">
        <v>589</v>
      </c>
      <c r="G26" s="7"/>
      <c r="H26" s="7" t="s">
        <v>590</v>
      </c>
      <c r="I26" s="27" t="s">
        <v>190</v>
      </c>
      <c r="J26" s="27" t="s">
        <v>192</v>
      </c>
      <c r="L26" s="2" t="s">
        <v>565</v>
      </c>
      <c r="M26" s="2" t="s">
        <v>212</v>
      </c>
      <c r="N26" s="2" t="s">
        <v>574</v>
      </c>
      <c r="O26" s="2" t="s">
        <v>572</v>
      </c>
      <c r="P26" s="2" t="s">
        <v>569</v>
      </c>
      <c r="R26" s="2" t="s">
        <v>573</v>
      </c>
      <c r="S26" s="2" t="s">
        <v>145</v>
      </c>
      <c r="T26" s="10" t="str">
        <f t="shared" si="3"/>
        <v>202511</v>
      </c>
      <c r="U26" s="23"/>
      <c r="V26" s="10" t="s">
        <v>139</v>
      </c>
      <c r="W26" s="10" t="s">
        <v>139</v>
      </c>
      <c r="X26" s="14" t="s">
        <v>190</v>
      </c>
      <c r="Y26" s="25" t="s">
        <v>192</v>
      </c>
      <c r="AB26" s="2" t="s">
        <v>565</v>
      </c>
      <c r="AC26" s="2" t="s">
        <v>212</v>
      </c>
      <c r="AD26" s="2" t="s">
        <v>574</v>
      </c>
      <c r="AE26" s="2" t="s">
        <v>572</v>
      </c>
      <c r="AF26" s="2" t="s">
        <v>569</v>
      </c>
      <c r="AH26" s="2" t="s">
        <v>573</v>
      </c>
      <c r="AI26" s="2" t="s">
        <v>145</v>
      </c>
      <c r="AJ26" s="10" t="str">
        <f t="shared" si="4"/>
        <v>202511</v>
      </c>
      <c r="AK26" s="10" t="s">
        <v>139</v>
      </c>
      <c r="AL26" s="10" t="s">
        <v>139</v>
      </c>
      <c r="AM26" s="7" t="s">
        <v>190</v>
      </c>
      <c r="AN26" s="7" t="s">
        <v>192</v>
      </c>
      <c r="AP26" s="38" t="str">
        <f t="shared" si="2"/>
        <v>JA173382_2025-11-03</v>
      </c>
      <c r="AQ26" s="27" t="s">
        <v>574</v>
      </c>
      <c r="AR26" s="27" t="s">
        <v>572</v>
      </c>
      <c r="AS26" s="27" t="s">
        <v>569</v>
      </c>
      <c r="AT26" s="27"/>
      <c r="AU26" s="27" t="s">
        <v>573</v>
      </c>
      <c r="AV26" s="27" t="s">
        <v>145</v>
      </c>
      <c r="AW26" s="38" t="s">
        <v>514</v>
      </c>
      <c r="AX26" s="38" t="s">
        <v>139</v>
      </c>
      <c r="AY26" s="38" t="s">
        <v>139</v>
      </c>
      <c r="AZ26" s="14" t="s">
        <v>190</v>
      </c>
      <c r="BA26" s="25" t="s">
        <v>192</v>
      </c>
    </row>
    <row r="27" spans="1:53" x14ac:dyDescent="0.25">
      <c r="B27" s="7" t="s">
        <v>582</v>
      </c>
      <c r="C27" s="7" t="s">
        <v>212</v>
      </c>
      <c r="D27" s="7" t="s">
        <v>591</v>
      </c>
      <c r="E27" s="7" t="s">
        <v>584</v>
      </c>
      <c r="F27" s="7" t="s">
        <v>592</v>
      </c>
      <c r="G27" s="7"/>
      <c r="H27" s="7" t="s">
        <v>593</v>
      </c>
      <c r="I27" s="27" t="s">
        <v>190</v>
      </c>
      <c r="J27" s="27" t="s">
        <v>192</v>
      </c>
      <c r="L27" s="7" t="s">
        <v>547</v>
      </c>
      <c r="M27" s="7" t="s">
        <v>548</v>
      </c>
      <c r="N27" s="7" t="s">
        <v>549</v>
      </c>
      <c r="O27" s="7"/>
      <c r="P27" s="7" t="s">
        <v>550</v>
      </c>
      <c r="Q27" s="7"/>
      <c r="R27" s="7" t="s">
        <v>551</v>
      </c>
      <c r="S27" s="7" t="s">
        <v>145</v>
      </c>
      <c r="T27" s="14" t="str">
        <f t="shared" ref="T27:T39" si="5">YEAR(M27) &amp; RIGHT("0" &amp; MONTH(M27), 2)</f>
        <v>202511</v>
      </c>
      <c r="U27" s="7"/>
      <c r="V27" s="14" t="s">
        <v>190</v>
      </c>
      <c r="W27" s="14" t="s">
        <v>190</v>
      </c>
      <c r="X27" s="7" t="s">
        <v>190</v>
      </c>
      <c r="Y27" s="7" t="s">
        <v>192</v>
      </c>
      <c r="AB27" s="7" t="s">
        <v>547</v>
      </c>
      <c r="AC27" s="7" t="s">
        <v>548</v>
      </c>
      <c r="AD27" s="7" t="s">
        <v>549</v>
      </c>
      <c r="AE27" s="7"/>
      <c r="AF27" s="7" t="s">
        <v>550</v>
      </c>
      <c r="AG27" s="7"/>
      <c r="AH27" s="7" t="s">
        <v>551</v>
      </c>
      <c r="AI27" s="7" t="s">
        <v>145</v>
      </c>
      <c r="AJ27" s="14" t="str">
        <f t="shared" si="4"/>
        <v>202511</v>
      </c>
      <c r="AK27" s="14" t="s">
        <v>190</v>
      </c>
      <c r="AL27" s="14" t="s">
        <v>190</v>
      </c>
      <c r="AM27" s="7" t="s">
        <v>190</v>
      </c>
      <c r="AN27" s="7" t="s">
        <v>192</v>
      </c>
      <c r="AP27" s="38" t="str">
        <f t="shared" si="2"/>
        <v>JC485950_2025-11-01</v>
      </c>
      <c r="AQ27" s="7" t="s">
        <v>549</v>
      </c>
      <c r="AR27" s="7"/>
      <c r="AS27" s="7" t="s">
        <v>550</v>
      </c>
      <c r="AT27" s="7"/>
      <c r="AU27" s="7" t="s">
        <v>551</v>
      </c>
      <c r="AV27" s="7" t="s">
        <v>145</v>
      </c>
      <c r="AW27" s="14" t="s">
        <v>514</v>
      </c>
      <c r="AX27" s="14" t="s">
        <v>190</v>
      </c>
      <c r="AY27" s="14" t="s">
        <v>190</v>
      </c>
      <c r="AZ27" s="14" t="s">
        <v>190</v>
      </c>
      <c r="BA27" s="25" t="s">
        <v>192</v>
      </c>
    </row>
    <row r="28" spans="1:53" x14ac:dyDescent="0.25">
      <c r="B28" s="7" t="s">
        <v>582</v>
      </c>
      <c r="C28" s="7" t="s">
        <v>212</v>
      </c>
      <c r="D28" s="7" t="s">
        <v>594</v>
      </c>
      <c r="E28" s="7" t="s">
        <v>572</v>
      </c>
      <c r="F28" s="7" t="s">
        <v>587</v>
      </c>
      <c r="G28" s="7"/>
      <c r="H28" s="7" t="s">
        <v>573</v>
      </c>
      <c r="I28" s="27" t="s">
        <v>190</v>
      </c>
      <c r="J28" s="27" t="s">
        <v>192</v>
      </c>
      <c r="L28" s="7" t="s">
        <v>547</v>
      </c>
      <c r="M28" s="7" t="s">
        <v>548</v>
      </c>
      <c r="N28" s="7" t="s">
        <v>552</v>
      </c>
      <c r="O28" s="7"/>
      <c r="P28" s="7" t="s">
        <v>553</v>
      </c>
      <c r="Q28" s="7"/>
      <c r="R28" s="7" t="s">
        <v>554</v>
      </c>
      <c r="S28" s="7" t="s">
        <v>145</v>
      </c>
      <c r="T28" s="14" t="str">
        <f t="shared" si="5"/>
        <v>202511</v>
      </c>
      <c r="U28" s="7"/>
      <c r="V28" s="14" t="s">
        <v>190</v>
      </c>
      <c r="W28" s="14" t="s">
        <v>190</v>
      </c>
      <c r="X28" s="7" t="s">
        <v>190</v>
      </c>
      <c r="Y28" s="7" t="s">
        <v>192</v>
      </c>
      <c r="AB28" s="7" t="s">
        <v>547</v>
      </c>
      <c r="AC28" s="7" t="s">
        <v>548</v>
      </c>
      <c r="AD28" s="7" t="s">
        <v>552</v>
      </c>
      <c r="AE28" s="7"/>
      <c r="AF28" s="7" t="s">
        <v>553</v>
      </c>
      <c r="AG28" s="7"/>
      <c r="AH28" s="7" t="s">
        <v>554</v>
      </c>
      <c r="AI28" s="7" t="s">
        <v>145</v>
      </c>
      <c r="AJ28" s="14" t="str">
        <f t="shared" si="4"/>
        <v>202511</v>
      </c>
      <c r="AK28" s="14" t="s">
        <v>190</v>
      </c>
      <c r="AL28" s="14" t="s">
        <v>190</v>
      </c>
      <c r="AM28" s="7" t="s">
        <v>190</v>
      </c>
      <c r="AN28" s="7" t="s">
        <v>192</v>
      </c>
      <c r="AP28" s="38" t="str">
        <f t="shared" si="2"/>
        <v>JC485950_2025-11-01</v>
      </c>
      <c r="AQ28" s="7" t="s">
        <v>552</v>
      </c>
      <c r="AR28" s="7"/>
      <c r="AS28" s="7" t="s">
        <v>553</v>
      </c>
      <c r="AT28" s="7"/>
      <c r="AU28" s="7" t="s">
        <v>554</v>
      </c>
      <c r="AV28" s="7" t="s">
        <v>145</v>
      </c>
      <c r="AW28" s="7" t="s">
        <v>514</v>
      </c>
      <c r="AX28" s="7" t="s">
        <v>190</v>
      </c>
      <c r="AY28" s="7" t="s">
        <v>190</v>
      </c>
      <c r="AZ28" s="7" t="s">
        <v>190</v>
      </c>
      <c r="BA28" s="7" t="s">
        <v>192</v>
      </c>
    </row>
    <row r="29" spans="1:53" x14ac:dyDescent="0.25">
      <c r="B29" s="7" t="s">
        <v>582</v>
      </c>
      <c r="C29" s="7" t="s">
        <v>212</v>
      </c>
      <c r="D29" s="7" t="s">
        <v>595</v>
      </c>
      <c r="E29" s="7" t="s">
        <v>572</v>
      </c>
      <c r="F29" s="7" t="s">
        <v>596</v>
      </c>
      <c r="G29" s="7"/>
      <c r="H29" s="7" t="s">
        <v>573</v>
      </c>
      <c r="I29" s="27" t="s">
        <v>190</v>
      </c>
      <c r="J29" s="27" t="s">
        <v>192</v>
      </c>
      <c r="L29" s="7" t="s">
        <v>547</v>
      </c>
      <c r="M29" s="7" t="s">
        <v>548</v>
      </c>
      <c r="N29" s="7" t="s">
        <v>571</v>
      </c>
      <c r="O29" s="7"/>
      <c r="P29" s="7" t="s">
        <v>550</v>
      </c>
      <c r="Q29" s="7"/>
      <c r="R29" s="7" t="s">
        <v>568</v>
      </c>
      <c r="S29" s="7" t="s">
        <v>145</v>
      </c>
      <c r="T29" s="14" t="str">
        <f t="shared" si="5"/>
        <v>202511</v>
      </c>
      <c r="U29" s="7"/>
      <c r="V29" s="14" t="s">
        <v>190</v>
      </c>
      <c r="W29" s="14" t="s">
        <v>190</v>
      </c>
      <c r="X29" s="7" t="s">
        <v>190</v>
      </c>
      <c r="Y29" s="7" t="s">
        <v>192</v>
      </c>
      <c r="AB29" s="7" t="s">
        <v>547</v>
      </c>
      <c r="AC29" s="7" t="s">
        <v>548</v>
      </c>
      <c r="AD29" s="7" t="s">
        <v>571</v>
      </c>
      <c r="AE29" s="7"/>
      <c r="AF29" s="7" t="s">
        <v>550</v>
      </c>
      <c r="AG29" s="7"/>
      <c r="AH29" s="7" t="s">
        <v>568</v>
      </c>
      <c r="AI29" s="7" t="s">
        <v>145</v>
      </c>
      <c r="AJ29" s="14" t="str">
        <f t="shared" si="4"/>
        <v>202511</v>
      </c>
      <c r="AK29" s="14" t="s">
        <v>190</v>
      </c>
      <c r="AL29" s="14" t="s">
        <v>190</v>
      </c>
      <c r="AM29" s="7" t="s">
        <v>190</v>
      </c>
      <c r="AN29" s="7" t="s">
        <v>192</v>
      </c>
      <c r="AP29" s="38" t="str">
        <f t="shared" si="2"/>
        <v>JC485950_2025-11-01</v>
      </c>
      <c r="AQ29" s="7" t="s">
        <v>571</v>
      </c>
      <c r="AR29" s="7"/>
      <c r="AS29" s="7" t="s">
        <v>550</v>
      </c>
      <c r="AT29" s="7"/>
      <c r="AU29" s="7" t="s">
        <v>568</v>
      </c>
      <c r="AV29" s="7" t="s">
        <v>145</v>
      </c>
      <c r="AW29" s="7" t="s">
        <v>514</v>
      </c>
      <c r="AX29" s="14" t="s">
        <v>190</v>
      </c>
      <c r="AY29" s="14" t="s">
        <v>190</v>
      </c>
      <c r="AZ29" s="14" t="s">
        <v>190</v>
      </c>
      <c r="BA29" s="14" t="s">
        <v>192</v>
      </c>
    </row>
    <row r="30" spans="1:53" x14ac:dyDescent="0.25">
      <c r="L30" s="7" t="s">
        <v>547</v>
      </c>
      <c r="M30" s="7" t="s">
        <v>548</v>
      </c>
      <c r="N30" s="7" t="s">
        <v>574</v>
      </c>
      <c r="O30" s="7"/>
      <c r="P30" s="7" t="s">
        <v>553</v>
      </c>
      <c r="Q30" s="7"/>
      <c r="R30" s="7" t="s">
        <v>568</v>
      </c>
      <c r="S30" s="7" t="s">
        <v>145</v>
      </c>
      <c r="T30" s="14" t="str">
        <f t="shared" si="5"/>
        <v>202511</v>
      </c>
      <c r="U30" s="7"/>
      <c r="V30" s="14" t="s">
        <v>190</v>
      </c>
      <c r="W30" s="14" t="s">
        <v>190</v>
      </c>
      <c r="X30" s="7" t="s">
        <v>190</v>
      </c>
      <c r="Y30" s="7" t="s">
        <v>192</v>
      </c>
      <c r="AB30" s="7" t="s">
        <v>547</v>
      </c>
      <c r="AC30" s="7" t="s">
        <v>548</v>
      </c>
      <c r="AD30" s="7" t="s">
        <v>574</v>
      </c>
      <c r="AE30" s="7"/>
      <c r="AF30" s="7" t="s">
        <v>553</v>
      </c>
      <c r="AG30" s="7"/>
      <c r="AH30" s="7" t="s">
        <v>568</v>
      </c>
      <c r="AI30" s="7" t="s">
        <v>145</v>
      </c>
      <c r="AJ30" s="14" t="str">
        <f t="shared" si="4"/>
        <v>202511</v>
      </c>
      <c r="AK30" s="14" t="s">
        <v>190</v>
      </c>
      <c r="AL30" s="14" t="s">
        <v>190</v>
      </c>
      <c r="AM30" s="7" t="s">
        <v>190</v>
      </c>
      <c r="AN30" s="7" t="s">
        <v>192</v>
      </c>
      <c r="AP30" s="38" t="str">
        <f t="shared" si="2"/>
        <v>JC485950_2025-11-01</v>
      </c>
      <c r="AQ30" s="7" t="s">
        <v>574</v>
      </c>
      <c r="AR30" s="7"/>
      <c r="AS30" s="7" t="s">
        <v>553</v>
      </c>
      <c r="AT30" s="7"/>
      <c r="AU30" s="7" t="s">
        <v>568</v>
      </c>
      <c r="AV30" s="7" t="s">
        <v>145</v>
      </c>
      <c r="AW30" s="7" t="s">
        <v>514</v>
      </c>
      <c r="AX30" s="14" t="s">
        <v>190</v>
      </c>
      <c r="AY30" s="14" t="s">
        <v>190</v>
      </c>
      <c r="AZ30" s="14" t="s">
        <v>190</v>
      </c>
      <c r="BA30" s="14" t="s">
        <v>192</v>
      </c>
    </row>
    <row r="31" spans="1:53" x14ac:dyDescent="0.25">
      <c r="L31" s="7" t="s">
        <v>578</v>
      </c>
      <c r="M31" s="7" t="s">
        <v>579</v>
      </c>
      <c r="N31" s="7" t="s">
        <v>549</v>
      </c>
      <c r="O31" s="7"/>
      <c r="P31" s="7" t="s">
        <v>580</v>
      </c>
      <c r="Q31" s="7"/>
      <c r="R31" s="7" t="s">
        <v>551</v>
      </c>
      <c r="S31" s="7" t="s">
        <v>145</v>
      </c>
      <c r="T31" s="14" t="str">
        <f t="shared" si="5"/>
        <v>202511</v>
      </c>
      <c r="U31" s="7"/>
      <c r="V31" s="14" t="s">
        <v>190</v>
      </c>
      <c r="W31" s="14" t="s">
        <v>190</v>
      </c>
      <c r="X31" s="7" t="s">
        <v>190</v>
      </c>
      <c r="Y31" s="7" t="s">
        <v>192</v>
      </c>
      <c r="AB31" s="7" t="s">
        <v>578</v>
      </c>
      <c r="AC31" s="7" t="s">
        <v>579</v>
      </c>
      <c r="AD31" s="7" t="s">
        <v>549</v>
      </c>
      <c r="AE31" s="7"/>
      <c r="AF31" s="7" t="s">
        <v>580</v>
      </c>
      <c r="AG31" s="7"/>
      <c r="AH31" s="7" t="s">
        <v>551</v>
      </c>
      <c r="AI31" s="7" t="s">
        <v>145</v>
      </c>
      <c r="AJ31" s="14" t="str">
        <f t="shared" si="4"/>
        <v>202511</v>
      </c>
      <c r="AK31" s="14" t="s">
        <v>190</v>
      </c>
      <c r="AL31" s="14" t="s">
        <v>190</v>
      </c>
      <c r="AM31" s="7" t="s">
        <v>190</v>
      </c>
      <c r="AN31" s="7" t="s">
        <v>192</v>
      </c>
      <c r="AP31" s="10" t="str">
        <f t="shared" si="2"/>
        <v>JC485951_2025-11-02</v>
      </c>
      <c r="AQ31" s="7" t="s">
        <v>549</v>
      </c>
      <c r="AR31" s="7"/>
      <c r="AS31" s="7" t="s">
        <v>580</v>
      </c>
      <c r="AT31" s="7"/>
      <c r="AU31" s="7" t="s">
        <v>551</v>
      </c>
      <c r="AV31" s="7" t="s">
        <v>145</v>
      </c>
      <c r="AW31" s="7" t="s">
        <v>514</v>
      </c>
      <c r="AX31" s="14" t="s">
        <v>190</v>
      </c>
      <c r="AY31" s="14" t="s">
        <v>190</v>
      </c>
      <c r="AZ31" s="14" t="s">
        <v>190</v>
      </c>
      <c r="BA31" s="14" t="s">
        <v>192</v>
      </c>
    </row>
    <row r="32" spans="1:53" x14ac:dyDescent="0.25">
      <c r="L32" s="7" t="s">
        <v>578</v>
      </c>
      <c r="M32" s="7" t="s">
        <v>579</v>
      </c>
      <c r="N32" s="7" t="s">
        <v>552</v>
      </c>
      <c r="O32" s="7"/>
      <c r="P32" s="7" t="s">
        <v>581</v>
      </c>
      <c r="Q32" s="7"/>
      <c r="R32" s="7" t="s">
        <v>554</v>
      </c>
      <c r="S32" s="7" t="s">
        <v>145</v>
      </c>
      <c r="T32" s="14" t="str">
        <f t="shared" si="5"/>
        <v>202511</v>
      </c>
      <c r="U32" s="7"/>
      <c r="V32" s="14" t="s">
        <v>190</v>
      </c>
      <c r="W32" s="14" t="s">
        <v>190</v>
      </c>
      <c r="X32" s="7" t="s">
        <v>190</v>
      </c>
      <c r="Y32" s="7" t="s">
        <v>192</v>
      </c>
      <c r="AB32" s="7" t="s">
        <v>578</v>
      </c>
      <c r="AC32" s="7" t="s">
        <v>579</v>
      </c>
      <c r="AD32" s="7" t="s">
        <v>552</v>
      </c>
      <c r="AE32" s="7"/>
      <c r="AF32" s="7" t="s">
        <v>581</v>
      </c>
      <c r="AG32" s="7"/>
      <c r="AH32" s="7" t="s">
        <v>554</v>
      </c>
      <c r="AI32" s="7" t="s">
        <v>145</v>
      </c>
      <c r="AJ32" s="14" t="str">
        <f t="shared" si="4"/>
        <v>202511</v>
      </c>
      <c r="AK32" s="14" t="s">
        <v>190</v>
      </c>
      <c r="AL32" s="14" t="s">
        <v>190</v>
      </c>
      <c r="AM32" s="7" t="s">
        <v>190</v>
      </c>
      <c r="AN32" s="7" t="s">
        <v>192</v>
      </c>
      <c r="AP32" s="10" t="str">
        <f t="shared" si="2"/>
        <v>JC485951_2025-11-02</v>
      </c>
      <c r="AQ32" s="7" t="s">
        <v>552</v>
      </c>
      <c r="AR32" s="7"/>
      <c r="AS32" s="7" t="s">
        <v>581</v>
      </c>
      <c r="AT32" s="7"/>
      <c r="AU32" s="7" t="s">
        <v>554</v>
      </c>
      <c r="AV32" s="7" t="s">
        <v>145</v>
      </c>
      <c r="AW32" s="7" t="s">
        <v>514</v>
      </c>
      <c r="AX32" s="14" t="s">
        <v>190</v>
      </c>
      <c r="AY32" s="14" t="s">
        <v>190</v>
      </c>
      <c r="AZ32" s="14" t="s">
        <v>190</v>
      </c>
      <c r="BA32" s="14" t="s">
        <v>192</v>
      </c>
    </row>
    <row r="33" spans="1:53" x14ac:dyDescent="0.25">
      <c r="L33" s="7" t="s">
        <v>582</v>
      </c>
      <c r="M33" s="7" t="s">
        <v>212</v>
      </c>
      <c r="N33" s="7" t="s">
        <v>549</v>
      </c>
      <c r="O33" s="7"/>
      <c r="P33" s="7" t="s">
        <v>583</v>
      </c>
      <c r="Q33" s="7" t="s">
        <v>584</v>
      </c>
      <c r="R33" s="7" t="s">
        <v>570</v>
      </c>
      <c r="S33" s="7" t="s">
        <v>145</v>
      </c>
      <c r="T33" s="14" t="str">
        <f t="shared" si="5"/>
        <v>202511</v>
      </c>
      <c r="U33" s="7"/>
      <c r="V33" s="14" t="s">
        <v>190</v>
      </c>
      <c r="W33" s="14" t="s">
        <v>190</v>
      </c>
      <c r="X33" s="7" t="s">
        <v>190</v>
      </c>
      <c r="Y33" s="7" t="s">
        <v>192</v>
      </c>
      <c r="AB33" s="7" t="s">
        <v>582</v>
      </c>
      <c r="AC33" s="7" t="s">
        <v>212</v>
      </c>
      <c r="AD33" s="7" t="s">
        <v>549</v>
      </c>
      <c r="AE33" s="7"/>
      <c r="AF33" s="7" t="s">
        <v>583</v>
      </c>
      <c r="AG33" s="7" t="s">
        <v>584</v>
      </c>
      <c r="AH33" s="7" t="s">
        <v>570</v>
      </c>
      <c r="AI33" s="7" t="s">
        <v>145</v>
      </c>
      <c r="AJ33" s="14" t="str">
        <f t="shared" si="4"/>
        <v>202511</v>
      </c>
      <c r="AK33" s="14" t="s">
        <v>190</v>
      </c>
      <c r="AL33" s="14" t="s">
        <v>190</v>
      </c>
      <c r="AM33" s="7" t="s">
        <v>190</v>
      </c>
      <c r="AN33" s="7" t="s">
        <v>192</v>
      </c>
      <c r="AP33" s="10" t="str">
        <f t="shared" si="2"/>
        <v>CD001655_2025-11-03</v>
      </c>
      <c r="AQ33" s="7" t="s">
        <v>549</v>
      </c>
      <c r="AR33" s="7"/>
      <c r="AS33" s="7" t="s">
        <v>583</v>
      </c>
      <c r="AT33" s="7" t="s">
        <v>584</v>
      </c>
      <c r="AU33" s="7" t="s">
        <v>570</v>
      </c>
      <c r="AV33" s="7" t="s">
        <v>145</v>
      </c>
      <c r="AW33" s="7" t="s">
        <v>514</v>
      </c>
      <c r="AX33" s="14" t="s">
        <v>190</v>
      </c>
      <c r="AY33" s="14" t="s">
        <v>190</v>
      </c>
      <c r="AZ33" s="14" t="s">
        <v>190</v>
      </c>
      <c r="BA33" s="14" t="s">
        <v>192</v>
      </c>
    </row>
    <row r="34" spans="1:53" x14ac:dyDescent="0.25">
      <c r="L34" s="7" t="s">
        <v>582</v>
      </c>
      <c r="M34" s="7" t="s">
        <v>212</v>
      </c>
      <c r="N34" s="7" t="s">
        <v>552</v>
      </c>
      <c r="O34" s="7" t="s">
        <v>584</v>
      </c>
      <c r="P34" s="7" t="s">
        <v>585</v>
      </c>
      <c r="Q34" s="7"/>
      <c r="R34" s="7" t="s">
        <v>586</v>
      </c>
      <c r="S34" s="7" t="s">
        <v>145</v>
      </c>
      <c r="T34" s="14" t="str">
        <f t="shared" si="5"/>
        <v>202511</v>
      </c>
      <c r="U34" s="7"/>
      <c r="V34" s="14" t="s">
        <v>190</v>
      </c>
      <c r="W34" s="14" t="s">
        <v>190</v>
      </c>
      <c r="X34" s="7" t="s">
        <v>190</v>
      </c>
      <c r="Y34" s="7" t="s">
        <v>192</v>
      </c>
      <c r="AB34" s="7" t="s">
        <v>582</v>
      </c>
      <c r="AC34" s="7" t="s">
        <v>212</v>
      </c>
      <c r="AD34" s="7" t="s">
        <v>552</v>
      </c>
      <c r="AE34" s="7" t="s">
        <v>584</v>
      </c>
      <c r="AF34" s="7" t="s">
        <v>585</v>
      </c>
      <c r="AG34" s="7"/>
      <c r="AH34" s="7" t="s">
        <v>586</v>
      </c>
      <c r="AI34" s="7" t="s">
        <v>145</v>
      </c>
      <c r="AJ34" s="14" t="str">
        <f t="shared" si="4"/>
        <v>202511</v>
      </c>
      <c r="AK34" s="14" t="s">
        <v>190</v>
      </c>
      <c r="AL34" s="14" t="s">
        <v>190</v>
      </c>
      <c r="AM34" s="7" t="s">
        <v>190</v>
      </c>
      <c r="AN34" s="7" t="s">
        <v>192</v>
      </c>
      <c r="AP34" s="10" t="str">
        <f t="shared" si="2"/>
        <v>CD001655_2025-11-03</v>
      </c>
      <c r="AQ34" s="7" t="s">
        <v>552</v>
      </c>
      <c r="AR34" s="7" t="s">
        <v>584</v>
      </c>
      <c r="AS34" s="7" t="s">
        <v>585</v>
      </c>
      <c r="AT34" s="7"/>
      <c r="AU34" s="7" t="s">
        <v>586</v>
      </c>
      <c r="AV34" s="7" t="s">
        <v>145</v>
      </c>
      <c r="AW34" s="7" t="s">
        <v>514</v>
      </c>
      <c r="AX34" s="14" t="s">
        <v>190</v>
      </c>
      <c r="AY34" s="14" t="s">
        <v>190</v>
      </c>
      <c r="AZ34" s="14" t="s">
        <v>190</v>
      </c>
      <c r="BA34" s="14" t="s">
        <v>192</v>
      </c>
    </row>
    <row r="35" spans="1:53" x14ac:dyDescent="0.25">
      <c r="L35" s="7" t="s">
        <v>582</v>
      </c>
      <c r="M35" s="7" t="s">
        <v>212</v>
      </c>
      <c r="N35" s="7" t="s">
        <v>571</v>
      </c>
      <c r="O35" s="7" t="s">
        <v>584</v>
      </c>
      <c r="P35" s="7" t="s">
        <v>587</v>
      </c>
      <c r="Q35" s="7"/>
      <c r="R35" s="7" t="s">
        <v>588</v>
      </c>
      <c r="S35" s="7" t="s">
        <v>145</v>
      </c>
      <c r="T35" s="14" t="str">
        <f t="shared" si="5"/>
        <v>202511</v>
      </c>
      <c r="U35" s="7"/>
      <c r="V35" s="14" t="s">
        <v>190</v>
      </c>
      <c r="W35" s="14" t="s">
        <v>190</v>
      </c>
      <c r="X35" s="7" t="s">
        <v>190</v>
      </c>
      <c r="Y35" s="7" t="s">
        <v>192</v>
      </c>
      <c r="AB35" s="7" t="s">
        <v>582</v>
      </c>
      <c r="AC35" s="7" t="s">
        <v>212</v>
      </c>
      <c r="AD35" s="7" t="s">
        <v>571</v>
      </c>
      <c r="AE35" s="7" t="s">
        <v>584</v>
      </c>
      <c r="AF35" s="7" t="s">
        <v>587</v>
      </c>
      <c r="AG35" s="7"/>
      <c r="AH35" s="7" t="s">
        <v>588</v>
      </c>
      <c r="AI35" s="7" t="s">
        <v>145</v>
      </c>
      <c r="AJ35" s="14" t="str">
        <f t="shared" si="4"/>
        <v>202511</v>
      </c>
      <c r="AK35" s="14" t="s">
        <v>190</v>
      </c>
      <c r="AL35" s="14" t="s">
        <v>190</v>
      </c>
      <c r="AM35" s="7" t="s">
        <v>190</v>
      </c>
      <c r="AN35" s="7" t="s">
        <v>192</v>
      </c>
      <c r="AP35" s="10" t="str">
        <f t="shared" si="2"/>
        <v>CD001655_2025-11-03</v>
      </c>
      <c r="AQ35" s="7" t="s">
        <v>571</v>
      </c>
      <c r="AR35" s="7" t="s">
        <v>584</v>
      </c>
      <c r="AS35" s="7" t="s">
        <v>587</v>
      </c>
      <c r="AT35" s="7"/>
      <c r="AU35" s="7" t="s">
        <v>588</v>
      </c>
      <c r="AV35" s="7" t="s">
        <v>145</v>
      </c>
      <c r="AW35" s="7" t="s">
        <v>514</v>
      </c>
      <c r="AX35" s="14" t="s">
        <v>190</v>
      </c>
      <c r="AY35" s="14" t="s">
        <v>190</v>
      </c>
      <c r="AZ35" s="14" t="s">
        <v>190</v>
      </c>
      <c r="BA35" s="14" t="s">
        <v>192</v>
      </c>
    </row>
    <row r="36" spans="1:53" x14ac:dyDescent="0.25">
      <c r="L36" s="7" t="s">
        <v>582</v>
      </c>
      <c r="M36" s="7" t="s">
        <v>212</v>
      </c>
      <c r="N36" s="7" t="s">
        <v>574</v>
      </c>
      <c r="O36" s="7" t="s">
        <v>584</v>
      </c>
      <c r="P36" s="7" t="s">
        <v>589</v>
      </c>
      <c r="Q36" s="7"/>
      <c r="R36" s="7" t="s">
        <v>590</v>
      </c>
      <c r="S36" s="7" t="s">
        <v>145</v>
      </c>
      <c r="T36" s="14" t="str">
        <f t="shared" si="5"/>
        <v>202511</v>
      </c>
      <c r="U36" s="7"/>
      <c r="V36" s="14" t="s">
        <v>190</v>
      </c>
      <c r="W36" s="14" t="s">
        <v>190</v>
      </c>
      <c r="X36" s="7" t="s">
        <v>190</v>
      </c>
      <c r="Y36" s="7" t="s">
        <v>192</v>
      </c>
      <c r="AB36" s="7" t="s">
        <v>582</v>
      </c>
      <c r="AC36" s="7" t="s">
        <v>212</v>
      </c>
      <c r="AD36" s="7" t="s">
        <v>574</v>
      </c>
      <c r="AE36" s="7" t="s">
        <v>584</v>
      </c>
      <c r="AF36" s="7" t="s">
        <v>589</v>
      </c>
      <c r="AG36" s="7"/>
      <c r="AH36" s="7" t="s">
        <v>590</v>
      </c>
      <c r="AI36" s="7" t="s">
        <v>145</v>
      </c>
      <c r="AJ36" s="14" t="str">
        <f t="shared" si="4"/>
        <v>202511</v>
      </c>
      <c r="AK36" s="14" t="s">
        <v>190</v>
      </c>
      <c r="AL36" s="14" t="s">
        <v>190</v>
      </c>
      <c r="AM36" s="7" t="s">
        <v>190</v>
      </c>
      <c r="AN36" s="7" t="s">
        <v>192</v>
      </c>
      <c r="AP36" s="10" t="str">
        <f t="shared" si="2"/>
        <v>CD001655_2025-11-03</v>
      </c>
      <c r="AQ36" s="7" t="s">
        <v>574</v>
      </c>
      <c r="AR36" s="7" t="s">
        <v>584</v>
      </c>
      <c r="AS36" s="7" t="s">
        <v>589</v>
      </c>
      <c r="AT36" s="7"/>
      <c r="AU36" s="7" t="s">
        <v>590</v>
      </c>
      <c r="AV36" s="7" t="s">
        <v>145</v>
      </c>
      <c r="AW36" s="7" t="s">
        <v>514</v>
      </c>
      <c r="AX36" s="14" t="s">
        <v>190</v>
      </c>
      <c r="AY36" s="14" t="s">
        <v>190</v>
      </c>
      <c r="AZ36" s="14" t="s">
        <v>190</v>
      </c>
      <c r="BA36" s="14" t="s">
        <v>192</v>
      </c>
    </row>
    <row r="37" spans="1:53" x14ac:dyDescent="0.25">
      <c r="L37" s="7" t="s">
        <v>582</v>
      </c>
      <c r="M37" s="7" t="s">
        <v>212</v>
      </c>
      <c r="N37" s="7" t="s">
        <v>591</v>
      </c>
      <c r="O37" s="7" t="s">
        <v>584</v>
      </c>
      <c r="P37" s="7" t="s">
        <v>592</v>
      </c>
      <c r="Q37" s="7"/>
      <c r="R37" s="7" t="s">
        <v>593</v>
      </c>
      <c r="S37" s="7" t="s">
        <v>145</v>
      </c>
      <c r="T37" s="14" t="str">
        <f t="shared" si="5"/>
        <v>202511</v>
      </c>
      <c r="U37" s="7"/>
      <c r="V37" s="14" t="s">
        <v>190</v>
      </c>
      <c r="W37" s="14" t="s">
        <v>190</v>
      </c>
      <c r="X37" s="7" t="s">
        <v>190</v>
      </c>
      <c r="Y37" s="7" t="s">
        <v>192</v>
      </c>
      <c r="AB37" s="7" t="s">
        <v>582</v>
      </c>
      <c r="AC37" s="7" t="s">
        <v>212</v>
      </c>
      <c r="AD37" s="7" t="s">
        <v>591</v>
      </c>
      <c r="AE37" s="7" t="s">
        <v>584</v>
      </c>
      <c r="AF37" s="7" t="s">
        <v>592</v>
      </c>
      <c r="AG37" s="7"/>
      <c r="AH37" s="7" t="s">
        <v>593</v>
      </c>
      <c r="AI37" s="7" t="s">
        <v>145</v>
      </c>
      <c r="AJ37" s="14" t="str">
        <f t="shared" si="4"/>
        <v>202511</v>
      </c>
      <c r="AK37" s="14" t="s">
        <v>190</v>
      </c>
      <c r="AL37" s="14" t="s">
        <v>190</v>
      </c>
      <c r="AM37" s="7" t="s">
        <v>190</v>
      </c>
      <c r="AN37" s="7" t="s">
        <v>192</v>
      </c>
      <c r="AP37" s="10" t="str">
        <f t="shared" si="2"/>
        <v>CD001655_2025-11-03</v>
      </c>
      <c r="AQ37" s="7" t="s">
        <v>591</v>
      </c>
      <c r="AR37" s="7" t="s">
        <v>584</v>
      </c>
      <c r="AS37" s="7" t="s">
        <v>592</v>
      </c>
      <c r="AT37" s="7"/>
      <c r="AU37" s="7" t="s">
        <v>593</v>
      </c>
      <c r="AV37" s="7" t="s">
        <v>145</v>
      </c>
      <c r="AW37" s="7" t="s">
        <v>514</v>
      </c>
      <c r="AX37" s="7" t="s">
        <v>190</v>
      </c>
      <c r="AY37" s="7" t="s">
        <v>190</v>
      </c>
      <c r="AZ37" s="7" t="s">
        <v>190</v>
      </c>
      <c r="BA37" s="7" t="s">
        <v>192</v>
      </c>
    </row>
    <row r="38" spans="1:53" x14ac:dyDescent="0.25">
      <c r="L38" s="7" t="s">
        <v>582</v>
      </c>
      <c r="M38" s="7" t="s">
        <v>212</v>
      </c>
      <c r="N38" s="7" t="s">
        <v>594</v>
      </c>
      <c r="O38" s="7" t="s">
        <v>572</v>
      </c>
      <c r="P38" s="7" t="s">
        <v>587</v>
      </c>
      <c r="Q38" s="7"/>
      <c r="R38" s="7" t="s">
        <v>573</v>
      </c>
      <c r="S38" s="7" t="s">
        <v>145</v>
      </c>
      <c r="T38" s="14" t="str">
        <f t="shared" si="5"/>
        <v>202511</v>
      </c>
      <c r="U38" s="7"/>
      <c r="V38" s="14" t="s">
        <v>190</v>
      </c>
      <c r="W38" s="14" t="s">
        <v>190</v>
      </c>
      <c r="X38" s="7" t="s">
        <v>190</v>
      </c>
      <c r="Y38" s="7" t="s">
        <v>192</v>
      </c>
      <c r="AB38" s="7" t="s">
        <v>582</v>
      </c>
      <c r="AC38" s="7" t="s">
        <v>212</v>
      </c>
      <c r="AD38" s="7" t="s">
        <v>594</v>
      </c>
      <c r="AE38" s="7" t="s">
        <v>572</v>
      </c>
      <c r="AF38" s="7" t="s">
        <v>587</v>
      </c>
      <c r="AG38" s="7"/>
      <c r="AH38" s="7" t="s">
        <v>573</v>
      </c>
      <c r="AI38" s="7" t="s">
        <v>145</v>
      </c>
      <c r="AJ38" s="14" t="str">
        <f t="shared" si="4"/>
        <v>202511</v>
      </c>
      <c r="AK38" s="14" t="s">
        <v>190</v>
      </c>
      <c r="AL38" s="14" t="s">
        <v>190</v>
      </c>
      <c r="AM38" s="7" t="s">
        <v>190</v>
      </c>
      <c r="AN38" s="7" t="s">
        <v>192</v>
      </c>
      <c r="AP38" s="10" t="str">
        <f t="shared" si="2"/>
        <v>CD001655_2025-11-03</v>
      </c>
      <c r="AQ38" s="7" t="s">
        <v>594</v>
      </c>
      <c r="AR38" s="7" t="s">
        <v>572</v>
      </c>
      <c r="AS38" s="7" t="s">
        <v>587</v>
      </c>
      <c r="AT38" s="7"/>
      <c r="AU38" s="7" t="s">
        <v>573</v>
      </c>
      <c r="AV38" s="7" t="s">
        <v>145</v>
      </c>
      <c r="AW38" s="7" t="s">
        <v>514</v>
      </c>
      <c r="AX38" s="7" t="s">
        <v>190</v>
      </c>
      <c r="AY38" s="7" t="s">
        <v>190</v>
      </c>
      <c r="AZ38" s="7" t="s">
        <v>190</v>
      </c>
      <c r="BA38" s="7" t="s">
        <v>192</v>
      </c>
    </row>
    <row r="39" spans="1:53" x14ac:dyDescent="0.25">
      <c r="L39" s="7" t="s">
        <v>582</v>
      </c>
      <c r="M39" s="7" t="s">
        <v>212</v>
      </c>
      <c r="N39" s="7" t="s">
        <v>595</v>
      </c>
      <c r="O39" s="7" t="s">
        <v>572</v>
      </c>
      <c r="P39" s="7" t="s">
        <v>596</v>
      </c>
      <c r="Q39" s="7"/>
      <c r="R39" s="7" t="s">
        <v>573</v>
      </c>
      <c r="S39" s="7" t="s">
        <v>145</v>
      </c>
      <c r="T39" s="14" t="str">
        <f t="shared" si="5"/>
        <v>202511</v>
      </c>
      <c r="U39" s="7"/>
      <c r="V39" s="14" t="s">
        <v>190</v>
      </c>
      <c r="W39" s="14" t="s">
        <v>190</v>
      </c>
      <c r="X39" s="7" t="s">
        <v>190</v>
      </c>
      <c r="Y39" s="7" t="s">
        <v>192</v>
      </c>
      <c r="AB39" s="7" t="s">
        <v>582</v>
      </c>
      <c r="AC39" s="7" t="s">
        <v>212</v>
      </c>
      <c r="AD39" s="7" t="s">
        <v>595</v>
      </c>
      <c r="AE39" s="7" t="s">
        <v>572</v>
      </c>
      <c r="AF39" s="7" t="s">
        <v>596</v>
      </c>
      <c r="AG39" s="7"/>
      <c r="AH39" s="7" t="s">
        <v>573</v>
      </c>
      <c r="AI39" s="7" t="s">
        <v>145</v>
      </c>
      <c r="AJ39" s="14" t="str">
        <f t="shared" si="4"/>
        <v>202511</v>
      </c>
      <c r="AK39" s="14" t="s">
        <v>190</v>
      </c>
      <c r="AL39" s="14" t="s">
        <v>190</v>
      </c>
      <c r="AM39" s="7" t="s">
        <v>190</v>
      </c>
      <c r="AN39" s="7" t="s">
        <v>192</v>
      </c>
      <c r="AP39" s="10" t="str">
        <f t="shared" si="2"/>
        <v>CD001655_2025-11-03</v>
      </c>
      <c r="AQ39" s="7" t="s">
        <v>595</v>
      </c>
      <c r="AR39" s="7" t="s">
        <v>572</v>
      </c>
      <c r="AS39" s="7" t="s">
        <v>596</v>
      </c>
      <c r="AT39" s="7"/>
      <c r="AU39" s="7" t="s">
        <v>573</v>
      </c>
      <c r="AV39" s="7" t="s">
        <v>145</v>
      </c>
      <c r="AW39" s="7" t="s">
        <v>514</v>
      </c>
      <c r="AX39" s="7" t="s">
        <v>190</v>
      </c>
      <c r="AY39" s="7" t="s">
        <v>190</v>
      </c>
      <c r="AZ39" s="7" t="s">
        <v>190</v>
      </c>
      <c r="BA39" s="7" t="s">
        <v>192</v>
      </c>
    </row>
    <row r="40" spans="1:53" x14ac:dyDescent="0.25">
      <c r="A40" s="6"/>
      <c r="B40" s="6"/>
      <c r="C40" s="6"/>
      <c r="D40" s="6"/>
      <c r="E40" s="6"/>
      <c r="F40" s="6"/>
      <c r="G40" s="6"/>
      <c r="H40" s="6"/>
      <c r="I40" s="6"/>
      <c r="J40" s="6"/>
      <c r="L40" s="9" t="s">
        <v>575</v>
      </c>
      <c r="M40" s="6"/>
      <c r="N40" s="6"/>
      <c r="O40" s="6"/>
      <c r="P40" s="6"/>
      <c r="Q40" s="6"/>
      <c r="R40" s="6"/>
      <c r="S40" s="6"/>
      <c r="T40" s="13"/>
      <c r="U40" s="6"/>
      <c r="V40" s="13"/>
      <c r="W40" s="13"/>
      <c r="X40" s="13"/>
      <c r="Y40" s="41"/>
      <c r="Z40" s="6"/>
      <c r="AB40" s="9" t="s">
        <v>597</v>
      </c>
      <c r="AC40" s="9"/>
      <c r="AD40" s="9"/>
      <c r="AE40" s="9"/>
      <c r="AF40" s="9"/>
      <c r="AG40" s="9"/>
      <c r="AH40" s="9"/>
      <c r="AI40" s="9"/>
      <c r="AJ40" s="16"/>
      <c r="AK40" s="16"/>
      <c r="AL40" s="16"/>
      <c r="AM40" s="6"/>
      <c r="AN40" s="6"/>
      <c r="AP40" s="9" t="s">
        <v>598</v>
      </c>
      <c r="AQ40" s="6"/>
      <c r="AR40" s="6"/>
      <c r="AS40" s="6"/>
      <c r="AT40" s="6"/>
      <c r="AU40" s="6"/>
      <c r="AV40" s="6"/>
      <c r="AW40" s="6"/>
      <c r="AX40" s="16"/>
      <c r="AY40" s="16"/>
      <c r="AZ40" s="6"/>
      <c r="BA40" s="6"/>
    </row>
    <row r="41" spans="1:53" x14ac:dyDescent="0.25">
      <c r="A41" s="23" t="s">
        <v>524</v>
      </c>
      <c r="B41" s="2" t="s">
        <v>599</v>
      </c>
      <c r="C41" s="2" t="s">
        <v>520</v>
      </c>
      <c r="D41" s="2" t="s">
        <v>549</v>
      </c>
      <c r="F41" s="2" t="s">
        <v>600</v>
      </c>
      <c r="H41" s="2" t="s">
        <v>551</v>
      </c>
      <c r="I41" s="2" t="s">
        <v>524</v>
      </c>
      <c r="J41" s="27" t="s">
        <v>601</v>
      </c>
      <c r="L41" s="2" t="s">
        <v>555</v>
      </c>
      <c r="M41" s="2" t="s">
        <v>548</v>
      </c>
      <c r="N41" s="2" t="s">
        <v>549</v>
      </c>
      <c r="O41" s="2" t="s">
        <v>556</v>
      </c>
      <c r="P41" s="2" t="s">
        <v>557</v>
      </c>
      <c r="R41" s="2" t="s">
        <v>558</v>
      </c>
      <c r="S41" s="2" t="s">
        <v>145</v>
      </c>
      <c r="T41" s="10" t="s">
        <v>514</v>
      </c>
      <c r="V41" s="10" t="s">
        <v>139</v>
      </c>
      <c r="W41" s="10" t="s">
        <v>139</v>
      </c>
      <c r="X41" s="10" t="s">
        <v>190</v>
      </c>
      <c r="Y41" s="4" t="s">
        <v>192</v>
      </c>
      <c r="AB41" s="2" t="s">
        <v>555</v>
      </c>
      <c r="AC41" s="2" t="s">
        <v>548</v>
      </c>
      <c r="AD41" s="2" t="s">
        <v>549</v>
      </c>
      <c r="AE41" s="2" t="s">
        <v>556</v>
      </c>
      <c r="AF41" s="2" t="s">
        <v>557</v>
      </c>
      <c r="AH41" s="2" t="s">
        <v>558</v>
      </c>
      <c r="AI41" s="2" t="s">
        <v>145</v>
      </c>
      <c r="AJ41" s="2" t="s">
        <v>514</v>
      </c>
      <c r="AK41" s="2" t="s">
        <v>139</v>
      </c>
      <c r="AL41" s="2" t="s">
        <v>139</v>
      </c>
      <c r="AM41" s="2" t="s">
        <v>190</v>
      </c>
      <c r="AN41" s="2" t="s">
        <v>192</v>
      </c>
      <c r="AP41" s="10" t="s">
        <v>602</v>
      </c>
      <c r="AQ41" s="2" t="s">
        <v>549</v>
      </c>
      <c r="AR41" s="2" t="s">
        <v>556</v>
      </c>
      <c r="AS41" s="2" t="s">
        <v>557</v>
      </c>
      <c r="AU41" s="2" t="s">
        <v>558</v>
      </c>
      <c r="AV41" s="2" t="s">
        <v>145</v>
      </c>
      <c r="AW41" s="2" t="s">
        <v>514</v>
      </c>
      <c r="AX41" s="2" t="s">
        <v>139</v>
      </c>
      <c r="AY41" s="2" t="s">
        <v>139</v>
      </c>
      <c r="AZ41" s="2" t="s">
        <v>190</v>
      </c>
      <c r="BA41" s="2" t="s">
        <v>192</v>
      </c>
    </row>
    <row r="42" spans="1:53" x14ac:dyDescent="0.25">
      <c r="B42" s="2" t="s">
        <v>599</v>
      </c>
      <c r="C42" s="2" t="s">
        <v>520</v>
      </c>
      <c r="D42" s="2" t="s">
        <v>552</v>
      </c>
      <c r="F42" s="2" t="s">
        <v>386</v>
      </c>
      <c r="H42" s="2" t="s">
        <v>554</v>
      </c>
      <c r="I42" s="2" t="s">
        <v>524</v>
      </c>
      <c r="J42" s="27" t="s">
        <v>601</v>
      </c>
      <c r="L42" s="2" t="s">
        <v>555</v>
      </c>
      <c r="M42" s="2" t="s">
        <v>548</v>
      </c>
      <c r="N42" s="2" t="s">
        <v>552</v>
      </c>
      <c r="O42" s="2" t="s">
        <v>556</v>
      </c>
      <c r="P42" s="2" t="s">
        <v>559</v>
      </c>
      <c r="R42" s="2" t="s">
        <v>560</v>
      </c>
      <c r="S42" s="2" t="s">
        <v>145</v>
      </c>
      <c r="T42" s="10" t="s">
        <v>514</v>
      </c>
      <c r="V42" s="10" t="s">
        <v>139</v>
      </c>
      <c r="W42" s="10" t="s">
        <v>139</v>
      </c>
      <c r="X42" s="10" t="s">
        <v>190</v>
      </c>
      <c r="Y42" s="4" t="s">
        <v>192</v>
      </c>
      <c r="AB42" s="2" t="s">
        <v>555</v>
      </c>
      <c r="AC42" s="2" t="s">
        <v>548</v>
      </c>
      <c r="AD42" s="2" t="s">
        <v>552</v>
      </c>
      <c r="AE42" s="2" t="s">
        <v>556</v>
      </c>
      <c r="AF42" s="2" t="s">
        <v>559</v>
      </c>
      <c r="AH42" s="2" t="s">
        <v>560</v>
      </c>
      <c r="AI42" s="2" t="s">
        <v>145</v>
      </c>
      <c r="AJ42" s="2" t="s">
        <v>514</v>
      </c>
      <c r="AK42" s="2" t="s">
        <v>139</v>
      </c>
      <c r="AL42" s="2" t="s">
        <v>139</v>
      </c>
      <c r="AM42" s="2" t="s">
        <v>190</v>
      </c>
      <c r="AN42" s="2" t="s">
        <v>192</v>
      </c>
      <c r="AP42" s="10" t="s">
        <v>602</v>
      </c>
      <c r="AQ42" s="2" t="s">
        <v>552</v>
      </c>
      <c r="AR42" s="2" t="s">
        <v>556</v>
      </c>
      <c r="AS42" s="2" t="s">
        <v>559</v>
      </c>
      <c r="AU42" s="2" t="s">
        <v>560</v>
      </c>
      <c r="AV42" s="2" t="s">
        <v>145</v>
      </c>
      <c r="AW42" s="2" t="s">
        <v>514</v>
      </c>
      <c r="AX42" s="2" t="s">
        <v>139</v>
      </c>
      <c r="AY42" s="2" t="s">
        <v>139</v>
      </c>
      <c r="AZ42" s="2" t="s">
        <v>190</v>
      </c>
      <c r="BA42" s="2" t="s">
        <v>192</v>
      </c>
    </row>
    <row r="43" spans="1:53" x14ac:dyDescent="0.25">
      <c r="L43" s="2" t="s">
        <v>561</v>
      </c>
      <c r="M43" s="2" t="s">
        <v>548</v>
      </c>
      <c r="N43" s="2" t="s">
        <v>549</v>
      </c>
      <c r="O43" s="2" t="s">
        <v>556</v>
      </c>
      <c r="P43" s="2" t="s">
        <v>562</v>
      </c>
      <c r="R43" s="2" t="s">
        <v>563</v>
      </c>
      <c r="S43" s="2" t="s">
        <v>145</v>
      </c>
      <c r="T43" s="10" t="s">
        <v>514</v>
      </c>
      <c r="V43" s="10" t="s">
        <v>139</v>
      </c>
      <c r="W43" s="10" t="s">
        <v>139</v>
      </c>
      <c r="X43" s="10" t="s">
        <v>190</v>
      </c>
      <c r="Y43" s="4" t="s">
        <v>192</v>
      </c>
      <c r="AB43" s="2" t="s">
        <v>561</v>
      </c>
      <c r="AC43" s="2" t="s">
        <v>548</v>
      </c>
      <c r="AD43" s="2" t="s">
        <v>549</v>
      </c>
      <c r="AE43" s="2" t="s">
        <v>556</v>
      </c>
      <c r="AF43" s="2" t="s">
        <v>562</v>
      </c>
      <c r="AH43" s="2" t="s">
        <v>563</v>
      </c>
      <c r="AI43" s="2" t="s">
        <v>145</v>
      </c>
      <c r="AJ43" s="2" t="s">
        <v>514</v>
      </c>
      <c r="AK43" s="2" t="s">
        <v>139</v>
      </c>
      <c r="AL43" s="2" t="s">
        <v>139</v>
      </c>
      <c r="AM43" s="2" t="s">
        <v>190</v>
      </c>
      <c r="AN43" s="2" t="s">
        <v>192</v>
      </c>
      <c r="AP43" s="10" t="s">
        <v>603</v>
      </c>
      <c r="AQ43" s="2" t="s">
        <v>549</v>
      </c>
      <c r="AR43" s="2" t="s">
        <v>556</v>
      </c>
      <c r="AS43" s="2" t="s">
        <v>562</v>
      </c>
      <c r="AU43" s="2" t="s">
        <v>563</v>
      </c>
      <c r="AV43" s="2" t="s">
        <v>145</v>
      </c>
      <c r="AW43" s="2" t="s">
        <v>514</v>
      </c>
      <c r="AX43" s="2" t="s">
        <v>139</v>
      </c>
      <c r="AY43" s="2" t="s">
        <v>139</v>
      </c>
      <c r="AZ43" s="2" t="s">
        <v>190</v>
      </c>
      <c r="BA43" s="2" t="s">
        <v>192</v>
      </c>
    </row>
    <row r="44" spans="1:53" x14ac:dyDescent="0.25">
      <c r="L44" s="2" t="s">
        <v>561</v>
      </c>
      <c r="M44" s="2" t="s">
        <v>548</v>
      </c>
      <c r="N44" s="2" t="s">
        <v>552</v>
      </c>
      <c r="O44" s="2" t="s">
        <v>556</v>
      </c>
      <c r="P44" s="2" t="s">
        <v>564</v>
      </c>
      <c r="R44" s="2" t="s">
        <v>560</v>
      </c>
      <c r="S44" s="2" t="s">
        <v>145</v>
      </c>
      <c r="T44" s="10" t="s">
        <v>514</v>
      </c>
      <c r="V44" s="10" t="s">
        <v>139</v>
      </c>
      <c r="W44" s="10" t="s">
        <v>139</v>
      </c>
      <c r="X44" s="10" t="s">
        <v>190</v>
      </c>
      <c r="Y44" s="4" t="s">
        <v>192</v>
      </c>
      <c r="AB44" s="2" t="s">
        <v>561</v>
      </c>
      <c r="AC44" s="2" t="s">
        <v>548</v>
      </c>
      <c r="AD44" s="2" t="s">
        <v>552</v>
      </c>
      <c r="AE44" s="2" t="s">
        <v>556</v>
      </c>
      <c r="AF44" s="2" t="s">
        <v>564</v>
      </c>
      <c r="AH44" s="2" t="s">
        <v>560</v>
      </c>
      <c r="AI44" s="2" t="s">
        <v>145</v>
      </c>
      <c r="AJ44" s="2" t="s">
        <v>514</v>
      </c>
      <c r="AK44" s="2" t="s">
        <v>139</v>
      </c>
      <c r="AL44" s="2" t="s">
        <v>139</v>
      </c>
      <c r="AM44" s="2" t="s">
        <v>190</v>
      </c>
      <c r="AN44" s="2" t="s">
        <v>192</v>
      </c>
      <c r="AP44" s="10" t="s">
        <v>603</v>
      </c>
      <c r="AQ44" s="2" t="s">
        <v>552</v>
      </c>
      <c r="AR44" s="2" t="s">
        <v>556</v>
      </c>
      <c r="AS44" s="2" t="s">
        <v>564</v>
      </c>
      <c r="AU44" s="2" t="s">
        <v>560</v>
      </c>
      <c r="AV44" s="2" t="s">
        <v>145</v>
      </c>
      <c r="AW44" s="2" t="s">
        <v>514</v>
      </c>
      <c r="AX44" s="2" t="s">
        <v>139</v>
      </c>
      <c r="AY44" s="2" t="s">
        <v>139</v>
      </c>
      <c r="AZ44" s="2" t="s">
        <v>190</v>
      </c>
      <c r="BA44" s="2" t="s">
        <v>192</v>
      </c>
    </row>
    <row r="45" spans="1:53" x14ac:dyDescent="0.25">
      <c r="L45" s="2" t="s">
        <v>565</v>
      </c>
      <c r="M45" s="2" t="s">
        <v>212</v>
      </c>
      <c r="N45" s="2" t="s">
        <v>549</v>
      </c>
      <c r="O45" s="2" t="s">
        <v>566</v>
      </c>
      <c r="P45" s="2" t="s">
        <v>567</v>
      </c>
      <c r="Q45" s="2" t="s">
        <v>357</v>
      </c>
      <c r="R45" s="2" t="s">
        <v>568</v>
      </c>
      <c r="S45" s="2" t="s">
        <v>145</v>
      </c>
      <c r="T45" s="10" t="s">
        <v>514</v>
      </c>
      <c r="V45" s="10" t="s">
        <v>139</v>
      </c>
      <c r="W45" s="10" t="s">
        <v>139</v>
      </c>
      <c r="X45" s="10" t="s">
        <v>190</v>
      </c>
      <c r="Y45" s="4" t="s">
        <v>192</v>
      </c>
      <c r="AB45" s="2" t="s">
        <v>565</v>
      </c>
      <c r="AC45" s="2" t="s">
        <v>212</v>
      </c>
      <c r="AD45" s="2" t="s">
        <v>549</v>
      </c>
      <c r="AE45" s="2" t="s">
        <v>566</v>
      </c>
      <c r="AF45" s="2" t="s">
        <v>567</v>
      </c>
      <c r="AG45" s="2" t="s">
        <v>357</v>
      </c>
      <c r="AH45" s="2" t="s">
        <v>568</v>
      </c>
      <c r="AI45" s="2" t="s">
        <v>145</v>
      </c>
      <c r="AJ45" s="2" t="s">
        <v>514</v>
      </c>
      <c r="AK45" s="2" t="s">
        <v>139</v>
      </c>
      <c r="AL45" s="2" t="s">
        <v>139</v>
      </c>
      <c r="AM45" s="2" t="s">
        <v>190</v>
      </c>
      <c r="AN45" s="2" t="s">
        <v>192</v>
      </c>
      <c r="AP45" s="10" t="s">
        <v>604</v>
      </c>
      <c r="AQ45" s="2" t="s">
        <v>549</v>
      </c>
      <c r="AR45" s="2" t="s">
        <v>566</v>
      </c>
      <c r="AS45" s="2" t="s">
        <v>567</v>
      </c>
      <c r="AT45" s="2" t="s">
        <v>357</v>
      </c>
      <c r="AU45" s="2" t="s">
        <v>568</v>
      </c>
      <c r="AV45" s="2" t="s">
        <v>145</v>
      </c>
      <c r="AW45" s="2" t="s">
        <v>514</v>
      </c>
      <c r="AX45" s="2" t="s">
        <v>139</v>
      </c>
      <c r="AY45" s="2" t="s">
        <v>139</v>
      </c>
      <c r="AZ45" s="2" t="s">
        <v>190</v>
      </c>
      <c r="BA45" s="2" t="s">
        <v>192</v>
      </c>
    </row>
    <row r="46" spans="1:53" x14ac:dyDescent="0.25">
      <c r="L46" s="2" t="s">
        <v>565</v>
      </c>
      <c r="M46" s="2" t="s">
        <v>212</v>
      </c>
      <c r="N46" s="2" t="s">
        <v>552</v>
      </c>
      <c r="O46" s="2" t="s">
        <v>566</v>
      </c>
      <c r="P46" s="2" t="s">
        <v>569</v>
      </c>
      <c r="Q46" s="2" t="s">
        <v>357</v>
      </c>
      <c r="R46" s="2" t="s">
        <v>570</v>
      </c>
      <c r="S46" s="2" t="s">
        <v>145</v>
      </c>
      <c r="T46" s="10" t="s">
        <v>514</v>
      </c>
      <c r="V46" s="10" t="s">
        <v>139</v>
      </c>
      <c r="W46" s="10" t="s">
        <v>139</v>
      </c>
      <c r="X46" s="10" t="s">
        <v>190</v>
      </c>
      <c r="Y46" s="4" t="s">
        <v>192</v>
      </c>
      <c r="AB46" s="2" t="s">
        <v>565</v>
      </c>
      <c r="AC46" s="2" t="s">
        <v>212</v>
      </c>
      <c r="AD46" s="2" t="s">
        <v>552</v>
      </c>
      <c r="AE46" s="2" t="s">
        <v>566</v>
      </c>
      <c r="AF46" s="2" t="s">
        <v>569</v>
      </c>
      <c r="AG46" s="2" t="s">
        <v>357</v>
      </c>
      <c r="AH46" s="2" t="s">
        <v>570</v>
      </c>
      <c r="AI46" s="2" t="s">
        <v>145</v>
      </c>
      <c r="AJ46" s="2" t="s">
        <v>514</v>
      </c>
      <c r="AK46" s="2" t="s">
        <v>139</v>
      </c>
      <c r="AL46" s="2" t="s">
        <v>139</v>
      </c>
      <c r="AM46" s="2" t="s">
        <v>190</v>
      </c>
      <c r="AN46" s="2" t="s">
        <v>192</v>
      </c>
      <c r="AP46" s="10" t="s">
        <v>604</v>
      </c>
      <c r="AQ46" s="2" t="s">
        <v>552</v>
      </c>
      <c r="AR46" s="2" t="s">
        <v>566</v>
      </c>
      <c r="AS46" s="2" t="s">
        <v>569</v>
      </c>
      <c r="AT46" s="2" t="s">
        <v>357</v>
      </c>
      <c r="AU46" s="2" t="s">
        <v>570</v>
      </c>
      <c r="AV46" s="2" t="s">
        <v>145</v>
      </c>
      <c r="AW46" s="2" t="s">
        <v>514</v>
      </c>
      <c r="AX46" s="2" t="s">
        <v>139</v>
      </c>
      <c r="AY46" s="2" t="s">
        <v>139</v>
      </c>
      <c r="AZ46" s="2" t="s">
        <v>190</v>
      </c>
      <c r="BA46" s="2" t="s">
        <v>192</v>
      </c>
    </row>
    <row r="47" spans="1:53" x14ac:dyDescent="0.25">
      <c r="L47" s="2" t="s">
        <v>565</v>
      </c>
      <c r="M47" s="2" t="s">
        <v>212</v>
      </c>
      <c r="N47" s="2" t="s">
        <v>571</v>
      </c>
      <c r="O47" s="2" t="s">
        <v>572</v>
      </c>
      <c r="P47" s="2" t="s">
        <v>567</v>
      </c>
      <c r="R47" s="2" t="s">
        <v>573</v>
      </c>
      <c r="S47" s="2" t="s">
        <v>145</v>
      </c>
      <c r="T47" s="10" t="s">
        <v>514</v>
      </c>
      <c r="V47" s="10" t="s">
        <v>139</v>
      </c>
      <c r="W47" s="10" t="s">
        <v>139</v>
      </c>
      <c r="X47" s="10" t="s">
        <v>190</v>
      </c>
      <c r="Y47" s="4" t="s">
        <v>192</v>
      </c>
      <c r="AB47" s="2" t="s">
        <v>565</v>
      </c>
      <c r="AC47" s="2" t="s">
        <v>212</v>
      </c>
      <c r="AD47" s="2" t="s">
        <v>571</v>
      </c>
      <c r="AE47" s="2" t="s">
        <v>572</v>
      </c>
      <c r="AF47" s="2" t="s">
        <v>567</v>
      </c>
      <c r="AH47" s="2" t="s">
        <v>573</v>
      </c>
      <c r="AI47" s="2" t="s">
        <v>145</v>
      </c>
      <c r="AJ47" s="2" t="s">
        <v>514</v>
      </c>
      <c r="AK47" s="2" t="s">
        <v>139</v>
      </c>
      <c r="AL47" s="2" t="s">
        <v>139</v>
      </c>
      <c r="AM47" s="2" t="s">
        <v>190</v>
      </c>
      <c r="AN47" s="2" t="s">
        <v>192</v>
      </c>
      <c r="AP47" s="10" t="s">
        <v>604</v>
      </c>
      <c r="AQ47" s="2" t="s">
        <v>571</v>
      </c>
      <c r="AR47" s="2" t="s">
        <v>572</v>
      </c>
      <c r="AS47" s="2" t="s">
        <v>567</v>
      </c>
      <c r="AU47" s="2" t="s">
        <v>573</v>
      </c>
      <c r="AV47" s="2" t="s">
        <v>145</v>
      </c>
      <c r="AW47" s="2" t="s">
        <v>514</v>
      </c>
      <c r="AX47" s="2" t="s">
        <v>139</v>
      </c>
      <c r="AY47" s="2" t="s">
        <v>139</v>
      </c>
      <c r="AZ47" s="2" t="s">
        <v>190</v>
      </c>
      <c r="BA47" s="2" t="s">
        <v>192</v>
      </c>
    </row>
    <row r="48" spans="1:53" x14ac:dyDescent="0.25">
      <c r="L48" s="2" t="s">
        <v>565</v>
      </c>
      <c r="M48" s="2" t="s">
        <v>212</v>
      </c>
      <c r="N48" s="2" t="s">
        <v>574</v>
      </c>
      <c r="O48" s="2" t="s">
        <v>572</v>
      </c>
      <c r="P48" s="2" t="s">
        <v>569</v>
      </c>
      <c r="R48" s="2" t="s">
        <v>573</v>
      </c>
      <c r="S48" s="2" t="s">
        <v>145</v>
      </c>
      <c r="T48" s="10" t="s">
        <v>514</v>
      </c>
      <c r="V48" s="10" t="s">
        <v>139</v>
      </c>
      <c r="W48" s="10" t="s">
        <v>139</v>
      </c>
      <c r="X48" s="10" t="s">
        <v>190</v>
      </c>
      <c r="Y48" s="4" t="s">
        <v>192</v>
      </c>
      <c r="AB48" s="2" t="s">
        <v>565</v>
      </c>
      <c r="AC48" s="2" t="s">
        <v>212</v>
      </c>
      <c r="AD48" s="2" t="s">
        <v>574</v>
      </c>
      <c r="AE48" s="2" t="s">
        <v>572</v>
      </c>
      <c r="AF48" s="2" t="s">
        <v>569</v>
      </c>
      <c r="AH48" s="2" t="s">
        <v>573</v>
      </c>
      <c r="AI48" s="2" t="s">
        <v>145</v>
      </c>
      <c r="AJ48" s="2" t="s">
        <v>514</v>
      </c>
      <c r="AK48" s="2" t="s">
        <v>139</v>
      </c>
      <c r="AL48" s="2" t="s">
        <v>139</v>
      </c>
      <c r="AM48" s="2" t="s">
        <v>190</v>
      </c>
      <c r="AN48" s="2" t="s">
        <v>192</v>
      </c>
      <c r="AP48" s="10" t="s">
        <v>604</v>
      </c>
      <c r="AQ48" s="2" t="s">
        <v>574</v>
      </c>
      <c r="AR48" s="2" t="s">
        <v>572</v>
      </c>
      <c r="AS48" s="2" t="s">
        <v>569</v>
      </c>
      <c r="AU48" s="2" t="s">
        <v>573</v>
      </c>
      <c r="AV48" s="2" t="s">
        <v>145</v>
      </c>
      <c r="AW48" s="2" t="s">
        <v>514</v>
      </c>
      <c r="AX48" s="2" t="s">
        <v>139</v>
      </c>
      <c r="AY48" s="2" t="s">
        <v>139</v>
      </c>
      <c r="AZ48" s="2" t="s">
        <v>190</v>
      </c>
      <c r="BA48" s="2" t="s">
        <v>192</v>
      </c>
    </row>
    <row r="49" spans="12:53" x14ac:dyDescent="0.25">
      <c r="L49" s="2" t="s">
        <v>547</v>
      </c>
      <c r="M49" s="2" t="s">
        <v>548</v>
      </c>
      <c r="N49" s="2" t="s">
        <v>549</v>
      </c>
      <c r="P49" s="2" t="s">
        <v>550</v>
      </c>
      <c r="R49" s="2" t="s">
        <v>551</v>
      </c>
      <c r="S49" s="2" t="s">
        <v>145</v>
      </c>
      <c r="T49" s="10" t="s">
        <v>514</v>
      </c>
      <c r="V49" s="10" t="s">
        <v>190</v>
      </c>
      <c r="W49" s="10" t="s">
        <v>190</v>
      </c>
      <c r="X49" s="10" t="s">
        <v>190</v>
      </c>
      <c r="Y49" s="4" t="s">
        <v>192</v>
      </c>
      <c r="AB49" s="2" t="s">
        <v>547</v>
      </c>
      <c r="AC49" s="2" t="s">
        <v>548</v>
      </c>
      <c r="AD49" s="2" t="s">
        <v>549</v>
      </c>
      <c r="AF49" s="2" t="s">
        <v>550</v>
      </c>
      <c r="AH49" s="2" t="s">
        <v>551</v>
      </c>
      <c r="AI49" s="2" t="s">
        <v>145</v>
      </c>
      <c r="AJ49" s="2" t="s">
        <v>514</v>
      </c>
      <c r="AK49" s="2" t="s">
        <v>190</v>
      </c>
      <c r="AL49" s="2" t="s">
        <v>190</v>
      </c>
      <c r="AM49" s="2" t="s">
        <v>190</v>
      </c>
      <c r="AN49" s="2" t="s">
        <v>192</v>
      </c>
      <c r="AP49" s="10" t="s">
        <v>605</v>
      </c>
      <c r="AQ49" s="2" t="s">
        <v>549</v>
      </c>
      <c r="AS49" s="2" t="s">
        <v>550</v>
      </c>
      <c r="AU49" s="2" t="s">
        <v>551</v>
      </c>
      <c r="AV49" s="2" t="s">
        <v>145</v>
      </c>
      <c r="AW49" s="2" t="s">
        <v>514</v>
      </c>
      <c r="AX49" s="2" t="s">
        <v>190</v>
      </c>
      <c r="AY49" s="2" t="s">
        <v>190</v>
      </c>
      <c r="AZ49" s="2" t="s">
        <v>190</v>
      </c>
      <c r="BA49" s="2" t="s">
        <v>192</v>
      </c>
    </row>
    <row r="50" spans="12:53" x14ac:dyDescent="0.25">
      <c r="L50" s="2" t="s">
        <v>547</v>
      </c>
      <c r="M50" s="2" t="s">
        <v>548</v>
      </c>
      <c r="N50" s="2" t="s">
        <v>552</v>
      </c>
      <c r="P50" s="2" t="s">
        <v>553</v>
      </c>
      <c r="R50" s="2" t="s">
        <v>554</v>
      </c>
      <c r="S50" s="2" t="s">
        <v>145</v>
      </c>
      <c r="T50" s="10" t="s">
        <v>514</v>
      </c>
      <c r="V50" s="10" t="s">
        <v>190</v>
      </c>
      <c r="W50" s="10" t="s">
        <v>190</v>
      </c>
      <c r="X50" s="10" t="s">
        <v>190</v>
      </c>
      <c r="Y50" s="4" t="s">
        <v>192</v>
      </c>
      <c r="AB50" s="2" t="s">
        <v>547</v>
      </c>
      <c r="AC50" s="2" t="s">
        <v>548</v>
      </c>
      <c r="AD50" s="2" t="s">
        <v>552</v>
      </c>
      <c r="AF50" s="2" t="s">
        <v>553</v>
      </c>
      <c r="AH50" s="2" t="s">
        <v>554</v>
      </c>
      <c r="AI50" s="2" t="s">
        <v>145</v>
      </c>
      <c r="AJ50" s="2" t="s">
        <v>514</v>
      </c>
      <c r="AK50" s="2" t="s">
        <v>190</v>
      </c>
      <c r="AL50" s="2" t="s">
        <v>190</v>
      </c>
      <c r="AM50" s="2" t="s">
        <v>190</v>
      </c>
      <c r="AN50" s="2" t="s">
        <v>192</v>
      </c>
      <c r="AP50" s="10" t="s">
        <v>605</v>
      </c>
      <c r="AQ50" s="2" t="s">
        <v>552</v>
      </c>
      <c r="AS50" s="2" t="s">
        <v>553</v>
      </c>
      <c r="AU50" s="2" t="s">
        <v>554</v>
      </c>
      <c r="AV50" s="2" t="s">
        <v>145</v>
      </c>
      <c r="AW50" s="2" t="s">
        <v>514</v>
      </c>
      <c r="AX50" s="2" t="s">
        <v>190</v>
      </c>
      <c r="AY50" s="2" t="s">
        <v>190</v>
      </c>
      <c r="AZ50" s="2" t="s">
        <v>190</v>
      </c>
      <c r="BA50" s="2" t="s">
        <v>192</v>
      </c>
    </row>
    <row r="51" spans="12:53" x14ac:dyDescent="0.25">
      <c r="L51" s="2" t="s">
        <v>547</v>
      </c>
      <c r="M51" s="2" t="s">
        <v>548</v>
      </c>
      <c r="N51" s="2" t="s">
        <v>571</v>
      </c>
      <c r="P51" s="2" t="s">
        <v>550</v>
      </c>
      <c r="R51" s="2" t="s">
        <v>568</v>
      </c>
      <c r="S51" s="2" t="s">
        <v>145</v>
      </c>
      <c r="T51" s="10" t="s">
        <v>514</v>
      </c>
      <c r="V51" s="10" t="s">
        <v>190</v>
      </c>
      <c r="W51" s="10" t="s">
        <v>190</v>
      </c>
      <c r="X51" s="10" t="s">
        <v>190</v>
      </c>
      <c r="Y51" s="4" t="s">
        <v>192</v>
      </c>
      <c r="AB51" s="2" t="s">
        <v>547</v>
      </c>
      <c r="AC51" s="2" t="s">
        <v>548</v>
      </c>
      <c r="AD51" s="2" t="s">
        <v>571</v>
      </c>
      <c r="AF51" s="2" t="s">
        <v>550</v>
      </c>
      <c r="AH51" s="2" t="s">
        <v>568</v>
      </c>
      <c r="AI51" s="2" t="s">
        <v>145</v>
      </c>
      <c r="AJ51" s="2" t="s">
        <v>514</v>
      </c>
      <c r="AK51" s="2" t="s">
        <v>190</v>
      </c>
      <c r="AL51" s="2" t="s">
        <v>190</v>
      </c>
      <c r="AM51" s="2" t="s">
        <v>190</v>
      </c>
      <c r="AN51" s="2" t="s">
        <v>192</v>
      </c>
      <c r="AP51" s="10" t="s">
        <v>605</v>
      </c>
      <c r="AQ51" s="2" t="s">
        <v>571</v>
      </c>
      <c r="AS51" s="2" t="s">
        <v>550</v>
      </c>
      <c r="AU51" s="2" t="s">
        <v>568</v>
      </c>
      <c r="AV51" s="2" t="s">
        <v>145</v>
      </c>
      <c r="AW51" s="2" t="s">
        <v>514</v>
      </c>
      <c r="AX51" s="2" t="s">
        <v>190</v>
      </c>
      <c r="AY51" s="2" t="s">
        <v>190</v>
      </c>
      <c r="AZ51" s="2" t="s">
        <v>190</v>
      </c>
      <c r="BA51" s="2" t="s">
        <v>192</v>
      </c>
    </row>
    <row r="52" spans="12:53" x14ac:dyDescent="0.25">
      <c r="L52" s="2" t="s">
        <v>547</v>
      </c>
      <c r="M52" s="2" t="s">
        <v>548</v>
      </c>
      <c r="N52" s="2" t="s">
        <v>574</v>
      </c>
      <c r="P52" s="2" t="s">
        <v>553</v>
      </c>
      <c r="R52" s="2" t="s">
        <v>568</v>
      </c>
      <c r="S52" s="2" t="s">
        <v>145</v>
      </c>
      <c r="T52" s="10" t="s">
        <v>514</v>
      </c>
      <c r="V52" s="10" t="s">
        <v>190</v>
      </c>
      <c r="W52" s="10" t="s">
        <v>190</v>
      </c>
      <c r="X52" s="10" t="s">
        <v>190</v>
      </c>
      <c r="Y52" s="4" t="s">
        <v>192</v>
      </c>
      <c r="AB52" s="2" t="s">
        <v>547</v>
      </c>
      <c r="AC52" s="2" t="s">
        <v>548</v>
      </c>
      <c r="AD52" s="2" t="s">
        <v>574</v>
      </c>
      <c r="AF52" s="2" t="s">
        <v>553</v>
      </c>
      <c r="AH52" s="2" t="s">
        <v>568</v>
      </c>
      <c r="AI52" s="2" t="s">
        <v>145</v>
      </c>
      <c r="AJ52" s="2" t="s">
        <v>514</v>
      </c>
      <c r="AK52" s="2" t="s">
        <v>190</v>
      </c>
      <c r="AL52" s="2" t="s">
        <v>190</v>
      </c>
      <c r="AM52" s="2" t="s">
        <v>190</v>
      </c>
      <c r="AN52" s="2" t="s">
        <v>192</v>
      </c>
      <c r="AP52" s="10" t="s">
        <v>605</v>
      </c>
      <c r="AQ52" s="2" t="s">
        <v>574</v>
      </c>
      <c r="AS52" s="2" t="s">
        <v>553</v>
      </c>
      <c r="AU52" s="2" t="s">
        <v>568</v>
      </c>
      <c r="AV52" s="2" t="s">
        <v>145</v>
      </c>
      <c r="AW52" s="2" t="s">
        <v>514</v>
      </c>
      <c r="AX52" s="2" t="s">
        <v>190</v>
      </c>
      <c r="AY52" s="2" t="s">
        <v>190</v>
      </c>
      <c r="AZ52" s="2" t="s">
        <v>190</v>
      </c>
      <c r="BA52" s="2" t="s">
        <v>192</v>
      </c>
    </row>
    <row r="53" spans="12:53" x14ac:dyDescent="0.25">
      <c r="L53" s="2" t="s">
        <v>578</v>
      </c>
      <c r="M53" s="2" t="s">
        <v>579</v>
      </c>
      <c r="N53" s="2" t="s">
        <v>549</v>
      </c>
      <c r="P53" s="2" t="s">
        <v>580</v>
      </c>
      <c r="R53" s="2" t="s">
        <v>551</v>
      </c>
      <c r="S53" s="2" t="s">
        <v>145</v>
      </c>
      <c r="T53" s="10" t="s">
        <v>514</v>
      </c>
      <c r="V53" s="10" t="s">
        <v>190</v>
      </c>
      <c r="W53" s="10" t="s">
        <v>190</v>
      </c>
      <c r="X53" s="10" t="s">
        <v>190</v>
      </c>
      <c r="Y53" s="4" t="s">
        <v>192</v>
      </c>
      <c r="AB53" s="2" t="s">
        <v>578</v>
      </c>
      <c r="AC53" s="2" t="s">
        <v>579</v>
      </c>
      <c r="AD53" s="2" t="s">
        <v>549</v>
      </c>
      <c r="AF53" s="2" t="s">
        <v>580</v>
      </c>
      <c r="AH53" s="2" t="s">
        <v>551</v>
      </c>
      <c r="AI53" s="2" t="s">
        <v>145</v>
      </c>
      <c r="AJ53" s="2" t="s">
        <v>514</v>
      </c>
      <c r="AK53" s="2" t="s">
        <v>190</v>
      </c>
      <c r="AL53" s="2" t="s">
        <v>190</v>
      </c>
      <c r="AM53" s="2" t="s">
        <v>190</v>
      </c>
      <c r="AN53" s="2" t="s">
        <v>192</v>
      </c>
      <c r="AP53" s="10" t="s">
        <v>606</v>
      </c>
      <c r="AQ53" s="2" t="s">
        <v>549</v>
      </c>
      <c r="AS53" s="2" t="s">
        <v>580</v>
      </c>
      <c r="AU53" s="2" t="s">
        <v>551</v>
      </c>
      <c r="AV53" s="2" t="s">
        <v>145</v>
      </c>
      <c r="AW53" s="2" t="s">
        <v>514</v>
      </c>
      <c r="AX53" s="2" t="s">
        <v>190</v>
      </c>
      <c r="AY53" s="2" t="s">
        <v>190</v>
      </c>
      <c r="AZ53" s="2" t="s">
        <v>190</v>
      </c>
      <c r="BA53" s="2" t="s">
        <v>192</v>
      </c>
    </row>
    <row r="54" spans="12:53" x14ac:dyDescent="0.25">
      <c r="L54" s="2" t="s">
        <v>578</v>
      </c>
      <c r="M54" s="2" t="s">
        <v>579</v>
      </c>
      <c r="N54" s="2" t="s">
        <v>552</v>
      </c>
      <c r="P54" s="2" t="s">
        <v>581</v>
      </c>
      <c r="R54" s="2" t="s">
        <v>554</v>
      </c>
      <c r="S54" s="2" t="s">
        <v>145</v>
      </c>
      <c r="T54" s="10" t="s">
        <v>514</v>
      </c>
      <c r="V54" s="10" t="s">
        <v>190</v>
      </c>
      <c r="W54" s="10" t="s">
        <v>190</v>
      </c>
      <c r="X54" s="10" t="s">
        <v>190</v>
      </c>
      <c r="Y54" s="4" t="s">
        <v>192</v>
      </c>
      <c r="AB54" s="2" t="s">
        <v>578</v>
      </c>
      <c r="AC54" s="2" t="s">
        <v>579</v>
      </c>
      <c r="AD54" s="2" t="s">
        <v>552</v>
      </c>
      <c r="AF54" s="2" t="s">
        <v>581</v>
      </c>
      <c r="AH54" s="2" t="s">
        <v>554</v>
      </c>
      <c r="AI54" s="2" t="s">
        <v>145</v>
      </c>
      <c r="AJ54" s="2" t="s">
        <v>514</v>
      </c>
      <c r="AK54" s="2" t="s">
        <v>190</v>
      </c>
      <c r="AL54" s="2" t="s">
        <v>190</v>
      </c>
      <c r="AM54" s="2" t="s">
        <v>190</v>
      </c>
      <c r="AN54" s="2" t="s">
        <v>192</v>
      </c>
      <c r="AP54" s="10" t="s">
        <v>606</v>
      </c>
      <c r="AQ54" s="2" t="s">
        <v>552</v>
      </c>
      <c r="AS54" s="2" t="s">
        <v>581</v>
      </c>
      <c r="AU54" s="2" t="s">
        <v>554</v>
      </c>
      <c r="AV54" s="2" t="s">
        <v>145</v>
      </c>
      <c r="AW54" s="2" t="s">
        <v>514</v>
      </c>
      <c r="AX54" s="2" t="s">
        <v>190</v>
      </c>
      <c r="AY54" s="2" t="s">
        <v>190</v>
      </c>
      <c r="AZ54" s="2" t="s">
        <v>190</v>
      </c>
      <c r="BA54" s="2" t="s">
        <v>192</v>
      </c>
    </row>
    <row r="55" spans="12:53" x14ac:dyDescent="0.25">
      <c r="L55" s="2" t="s">
        <v>582</v>
      </c>
      <c r="M55" s="2" t="s">
        <v>212</v>
      </c>
      <c r="N55" s="2" t="s">
        <v>549</v>
      </c>
      <c r="P55" s="2" t="s">
        <v>583</v>
      </c>
      <c r="Q55" s="2" t="s">
        <v>584</v>
      </c>
      <c r="R55" s="2" t="s">
        <v>570</v>
      </c>
      <c r="S55" s="2" t="s">
        <v>145</v>
      </c>
      <c r="T55" s="10" t="s">
        <v>514</v>
      </c>
      <c r="V55" s="10" t="s">
        <v>190</v>
      </c>
      <c r="W55" s="14" t="s">
        <v>524</v>
      </c>
      <c r="X55" s="14" t="s">
        <v>524</v>
      </c>
      <c r="Y55" s="42" t="s">
        <v>601</v>
      </c>
      <c r="Z55" s="100" t="s">
        <v>607</v>
      </c>
      <c r="AB55" s="8" t="s">
        <v>582</v>
      </c>
      <c r="AC55" s="8" t="s">
        <v>212</v>
      </c>
      <c r="AD55" s="8" t="s">
        <v>549</v>
      </c>
      <c r="AE55" s="8"/>
      <c r="AF55" s="8" t="s">
        <v>583</v>
      </c>
      <c r="AG55" s="8" t="s">
        <v>584</v>
      </c>
      <c r="AH55" s="8" t="s">
        <v>570</v>
      </c>
      <c r="AI55" s="8" t="s">
        <v>145</v>
      </c>
      <c r="AJ55" s="8" t="s">
        <v>514</v>
      </c>
      <c r="AK55" s="8" t="s">
        <v>190</v>
      </c>
      <c r="AL55" s="8" t="s">
        <v>190</v>
      </c>
      <c r="AM55" s="8" t="s">
        <v>190</v>
      </c>
      <c r="AN55" s="8" t="s">
        <v>192</v>
      </c>
      <c r="AP55" s="34" t="s">
        <v>608</v>
      </c>
      <c r="AQ55" s="8" t="s">
        <v>549</v>
      </c>
      <c r="AR55" s="8"/>
      <c r="AS55" s="8" t="s">
        <v>583</v>
      </c>
      <c r="AT55" s="8" t="s">
        <v>584</v>
      </c>
      <c r="AU55" s="8" t="s">
        <v>570</v>
      </c>
      <c r="AV55" s="8" t="s">
        <v>145</v>
      </c>
      <c r="AW55" s="8" t="s">
        <v>514</v>
      </c>
      <c r="AX55" s="8" t="s">
        <v>190</v>
      </c>
      <c r="AY55" s="8" t="s">
        <v>190</v>
      </c>
      <c r="AZ55" s="8" t="s">
        <v>190</v>
      </c>
      <c r="BA55" s="8" t="s">
        <v>192</v>
      </c>
    </row>
    <row r="56" spans="12:53" x14ac:dyDescent="0.25">
      <c r="L56" s="2" t="s">
        <v>582</v>
      </c>
      <c r="M56" s="2" t="s">
        <v>212</v>
      </c>
      <c r="N56" s="2" t="s">
        <v>552</v>
      </c>
      <c r="O56" s="2" t="s">
        <v>584</v>
      </c>
      <c r="P56" s="2" t="s">
        <v>585</v>
      </c>
      <c r="R56" s="2" t="s">
        <v>586</v>
      </c>
      <c r="S56" s="2" t="s">
        <v>145</v>
      </c>
      <c r="T56" s="10" t="s">
        <v>514</v>
      </c>
      <c r="V56" s="10" t="s">
        <v>190</v>
      </c>
      <c r="W56" s="14" t="s">
        <v>524</v>
      </c>
      <c r="X56" s="14" t="s">
        <v>524</v>
      </c>
      <c r="Y56" s="42" t="s">
        <v>601</v>
      </c>
      <c r="Z56" s="100"/>
      <c r="AB56" s="8" t="s">
        <v>582</v>
      </c>
      <c r="AC56" s="8" t="s">
        <v>212</v>
      </c>
      <c r="AD56" s="8" t="s">
        <v>552</v>
      </c>
      <c r="AE56" s="8" t="s">
        <v>584</v>
      </c>
      <c r="AF56" s="8" t="s">
        <v>585</v>
      </c>
      <c r="AG56" s="8"/>
      <c r="AH56" s="8" t="s">
        <v>586</v>
      </c>
      <c r="AI56" s="8" t="s">
        <v>145</v>
      </c>
      <c r="AJ56" s="8" t="s">
        <v>514</v>
      </c>
      <c r="AK56" s="8" t="s">
        <v>190</v>
      </c>
      <c r="AL56" s="8" t="s">
        <v>190</v>
      </c>
      <c r="AM56" s="8" t="s">
        <v>190</v>
      </c>
      <c r="AN56" s="8" t="s">
        <v>192</v>
      </c>
      <c r="AP56" s="34" t="s">
        <v>608</v>
      </c>
      <c r="AQ56" s="8" t="s">
        <v>552</v>
      </c>
      <c r="AR56" s="8" t="s">
        <v>584</v>
      </c>
      <c r="AS56" s="8" t="s">
        <v>585</v>
      </c>
      <c r="AT56" s="8"/>
      <c r="AU56" s="8" t="s">
        <v>586</v>
      </c>
      <c r="AV56" s="8" t="s">
        <v>145</v>
      </c>
      <c r="AW56" s="8" t="s">
        <v>514</v>
      </c>
      <c r="AX56" s="8" t="s">
        <v>190</v>
      </c>
      <c r="AY56" s="8" t="s">
        <v>190</v>
      </c>
      <c r="AZ56" s="8" t="s">
        <v>190</v>
      </c>
      <c r="BA56" s="8" t="s">
        <v>192</v>
      </c>
    </row>
    <row r="57" spans="12:53" x14ac:dyDescent="0.25">
      <c r="L57" s="2" t="s">
        <v>582</v>
      </c>
      <c r="M57" s="2" t="s">
        <v>212</v>
      </c>
      <c r="N57" s="2" t="s">
        <v>571</v>
      </c>
      <c r="O57" s="2" t="s">
        <v>584</v>
      </c>
      <c r="P57" s="7" t="s">
        <v>609</v>
      </c>
      <c r="R57" s="2" t="s">
        <v>588</v>
      </c>
      <c r="S57" s="2" t="s">
        <v>145</v>
      </c>
      <c r="T57" s="10" t="s">
        <v>514</v>
      </c>
      <c r="U57" s="7" t="s">
        <v>610</v>
      </c>
      <c r="V57" s="10" t="s">
        <v>190</v>
      </c>
      <c r="W57" s="14" t="s">
        <v>524</v>
      </c>
      <c r="X57" s="14" t="s">
        <v>524</v>
      </c>
      <c r="Y57" s="42" t="s">
        <v>601</v>
      </c>
      <c r="Z57" s="100"/>
      <c r="AB57" s="8" t="s">
        <v>582</v>
      </c>
      <c r="AC57" s="8" t="s">
        <v>212</v>
      </c>
      <c r="AD57" s="8" t="s">
        <v>571</v>
      </c>
      <c r="AE57" s="8" t="s">
        <v>584</v>
      </c>
      <c r="AF57" s="8" t="s">
        <v>587</v>
      </c>
      <c r="AG57" s="8"/>
      <c r="AH57" s="8" t="s">
        <v>588</v>
      </c>
      <c r="AI57" s="8" t="s">
        <v>145</v>
      </c>
      <c r="AJ57" s="8" t="s">
        <v>514</v>
      </c>
      <c r="AK57" s="8" t="s">
        <v>190</v>
      </c>
      <c r="AL57" s="8" t="s">
        <v>190</v>
      </c>
      <c r="AM57" s="8" t="s">
        <v>190</v>
      </c>
      <c r="AN57" s="8" t="s">
        <v>192</v>
      </c>
      <c r="AP57" s="34" t="s">
        <v>608</v>
      </c>
      <c r="AQ57" s="8" t="s">
        <v>571</v>
      </c>
      <c r="AR57" s="8" t="s">
        <v>584</v>
      </c>
      <c r="AS57" s="8" t="s">
        <v>587</v>
      </c>
      <c r="AT57" s="8"/>
      <c r="AU57" s="8" t="s">
        <v>588</v>
      </c>
      <c r="AV57" s="8" t="s">
        <v>145</v>
      </c>
      <c r="AW57" s="8" t="s">
        <v>514</v>
      </c>
      <c r="AX57" s="8" t="s">
        <v>190</v>
      </c>
      <c r="AY57" s="8" t="s">
        <v>190</v>
      </c>
      <c r="AZ57" s="8" t="s">
        <v>190</v>
      </c>
      <c r="BA57" s="8" t="s">
        <v>192</v>
      </c>
    </row>
    <row r="58" spans="12:53" x14ac:dyDescent="0.25">
      <c r="L58" s="2" t="s">
        <v>582</v>
      </c>
      <c r="M58" s="2" t="s">
        <v>212</v>
      </c>
      <c r="N58" s="2" t="s">
        <v>574</v>
      </c>
      <c r="O58" s="2" t="s">
        <v>584</v>
      </c>
      <c r="P58" s="7" t="s">
        <v>611</v>
      </c>
      <c r="R58" s="2" t="s">
        <v>590</v>
      </c>
      <c r="S58" s="2" t="s">
        <v>145</v>
      </c>
      <c r="T58" s="10" t="s">
        <v>514</v>
      </c>
      <c r="U58" s="7" t="s">
        <v>610</v>
      </c>
      <c r="V58" s="10" t="s">
        <v>190</v>
      </c>
      <c r="W58" s="14" t="s">
        <v>524</v>
      </c>
      <c r="X58" s="14" t="s">
        <v>524</v>
      </c>
      <c r="Y58" s="42" t="s">
        <v>601</v>
      </c>
      <c r="Z58" s="100"/>
      <c r="AB58" s="8" t="s">
        <v>582</v>
      </c>
      <c r="AC58" s="8" t="s">
        <v>212</v>
      </c>
      <c r="AD58" s="8" t="s">
        <v>574</v>
      </c>
      <c r="AE58" s="8" t="s">
        <v>584</v>
      </c>
      <c r="AF58" s="8" t="s">
        <v>589</v>
      </c>
      <c r="AG58" s="8"/>
      <c r="AH58" s="8" t="s">
        <v>590</v>
      </c>
      <c r="AI58" s="8" t="s">
        <v>145</v>
      </c>
      <c r="AJ58" s="8" t="s">
        <v>514</v>
      </c>
      <c r="AK58" s="8" t="s">
        <v>190</v>
      </c>
      <c r="AL58" s="8" t="s">
        <v>190</v>
      </c>
      <c r="AM58" s="8" t="s">
        <v>190</v>
      </c>
      <c r="AN58" s="8" t="s">
        <v>192</v>
      </c>
      <c r="AP58" s="34" t="s">
        <v>608</v>
      </c>
      <c r="AQ58" s="8" t="s">
        <v>574</v>
      </c>
      <c r="AR58" s="8" t="s">
        <v>584</v>
      </c>
      <c r="AS58" s="8" t="s">
        <v>589</v>
      </c>
      <c r="AT58" s="8"/>
      <c r="AU58" s="8" t="s">
        <v>590</v>
      </c>
      <c r="AV58" s="8" t="s">
        <v>145</v>
      </c>
      <c r="AW58" s="8" t="s">
        <v>514</v>
      </c>
      <c r="AX58" s="8" t="s">
        <v>190</v>
      </c>
      <c r="AY58" s="8" t="s">
        <v>190</v>
      </c>
      <c r="AZ58" s="8" t="s">
        <v>190</v>
      </c>
      <c r="BA58" s="8" t="s">
        <v>192</v>
      </c>
    </row>
    <row r="59" spans="12:53" x14ac:dyDescent="0.25">
      <c r="L59" s="2" t="s">
        <v>582</v>
      </c>
      <c r="M59" s="2" t="s">
        <v>212</v>
      </c>
      <c r="N59" s="2" t="s">
        <v>591</v>
      </c>
      <c r="O59" s="2" t="s">
        <v>584</v>
      </c>
      <c r="P59" s="2" t="s">
        <v>592</v>
      </c>
      <c r="R59" s="2" t="s">
        <v>593</v>
      </c>
      <c r="S59" s="2" t="s">
        <v>145</v>
      </c>
      <c r="T59" s="10" t="s">
        <v>514</v>
      </c>
      <c r="V59" s="10" t="s">
        <v>190</v>
      </c>
      <c r="W59" s="14" t="s">
        <v>524</v>
      </c>
      <c r="X59" s="14" t="s">
        <v>524</v>
      </c>
      <c r="Y59" s="42" t="s">
        <v>601</v>
      </c>
      <c r="Z59" s="100"/>
      <c r="AB59" s="8" t="s">
        <v>582</v>
      </c>
      <c r="AC59" s="8" t="s">
        <v>212</v>
      </c>
      <c r="AD59" s="8" t="s">
        <v>591</v>
      </c>
      <c r="AE59" s="8" t="s">
        <v>584</v>
      </c>
      <c r="AF59" s="8" t="s">
        <v>592</v>
      </c>
      <c r="AG59" s="8"/>
      <c r="AH59" s="8" t="s">
        <v>593</v>
      </c>
      <c r="AI59" s="8" t="s">
        <v>145</v>
      </c>
      <c r="AJ59" s="8" t="s">
        <v>514</v>
      </c>
      <c r="AK59" s="8" t="s">
        <v>190</v>
      </c>
      <c r="AL59" s="8" t="s">
        <v>190</v>
      </c>
      <c r="AM59" s="8" t="s">
        <v>190</v>
      </c>
      <c r="AN59" s="8" t="s">
        <v>192</v>
      </c>
      <c r="AP59" s="34" t="s">
        <v>608</v>
      </c>
      <c r="AQ59" s="8" t="s">
        <v>591</v>
      </c>
      <c r="AR59" s="8" t="s">
        <v>584</v>
      </c>
      <c r="AS59" s="8" t="s">
        <v>592</v>
      </c>
      <c r="AT59" s="8"/>
      <c r="AU59" s="8" t="s">
        <v>593</v>
      </c>
      <c r="AV59" s="8" t="s">
        <v>145</v>
      </c>
      <c r="AW59" s="8" t="s">
        <v>514</v>
      </c>
      <c r="AX59" s="8" t="s">
        <v>190</v>
      </c>
      <c r="AY59" s="8" t="s">
        <v>190</v>
      </c>
      <c r="AZ59" s="8" t="s">
        <v>190</v>
      </c>
      <c r="BA59" s="8" t="s">
        <v>192</v>
      </c>
    </row>
    <row r="60" spans="12:53" x14ac:dyDescent="0.25">
      <c r="L60" s="2" t="s">
        <v>582</v>
      </c>
      <c r="M60" s="2" t="s">
        <v>212</v>
      </c>
      <c r="N60" s="2" t="s">
        <v>594</v>
      </c>
      <c r="O60" s="2" t="s">
        <v>572</v>
      </c>
      <c r="P60" s="2" t="s">
        <v>587</v>
      </c>
      <c r="R60" s="2" t="s">
        <v>573</v>
      </c>
      <c r="S60" s="2" t="s">
        <v>145</v>
      </c>
      <c r="T60" s="10" t="s">
        <v>514</v>
      </c>
      <c r="V60" s="10" t="s">
        <v>190</v>
      </c>
      <c r="W60" s="14" t="s">
        <v>524</v>
      </c>
      <c r="X60" s="14" t="s">
        <v>524</v>
      </c>
      <c r="Y60" s="42" t="s">
        <v>601</v>
      </c>
      <c r="Z60" s="100"/>
      <c r="AB60" s="8" t="s">
        <v>582</v>
      </c>
      <c r="AC60" s="8" t="s">
        <v>212</v>
      </c>
      <c r="AD60" s="8" t="s">
        <v>594</v>
      </c>
      <c r="AE60" s="8" t="s">
        <v>572</v>
      </c>
      <c r="AF60" s="8" t="s">
        <v>587</v>
      </c>
      <c r="AG60" s="8"/>
      <c r="AH60" s="8" t="s">
        <v>573</v>
      </c>
      <c r="AI60" s="8" t="s">
        <v>145</v>
      </c>
      <c r="AJ60" s="8" t="s">
        <v>514</v>
      </c>
      <c r="AK60" s="8" t="s">
        <v>190</v>
      </c>
      <c r="AL60" s="8" t="s">
        <v>190</v>
      </c>
      <c r="AM60" s="8" t="s">
        <v>190</v>
      </c>
      <c r="AN60" s="8" t="s">
        <v>192</v>
      </c>
      <c r="AP60" s="34" t="s">
        <v>608</v>
      </c>
      <c r="AQ60" s="8" t="s">
        <v>594</v>
      </c>
      <c r="AR60" s="8" t="s">
        <v>572</v>
      </c>
      <c r="AS60" s="8" t="s">
        <v>587</v>
      </c>
      <c r="AT60" s="8"/>
      <c r="AU60" s="8" t="s">
        <v>573</v>
      </c>
      <c r="AV60" s="8" t="s">
        <v>145</v>
      </c>
      <c r="AW60" s="8" t="s">
        <v>514</v>
      </c>
      <c r="AX60" s="8" t="s">
        <v>190</v>
      </c>
      <c r="AY60" s="8" t="s">
        <v>190</v>
      </c>
      <c r="AZ60" s="8" t="s">
        <v>190</v>
      </c>
      <c r="BA60" s="8" t="s">
        <v>192</v>
      </c>
    </row>
    <row r="61" spans="12:53" x14ac:dyDescent="0.25">
      <c r="L61" s="2" t="s">
        <v>582</v>
      </c>
      <c r="M61" s="2" t="s">
        <v>212</v>
      </c>
      <c r="N61" s="2" t="s">
        <v>595</v>
      </c>
      <c r="O61" s="2" t="s">
        <v>572</v>
      </c>
      <c r="P61" s="2" t="s">
        <v>596</v>
      </c>
      <c r="R61" s="2" t="s">
        <v>573</v>
      </c>
      <c r="S61" s="2" t="s">
        <v>145</v>
      </c>
      <c r="T61" s="10" t="s">
        <v>514</v>
      </c>
      <c r="V61" s="10" t="s">
        <v>190</v>
      </c>
      <c r="W61" s="14" t="s">
        <v>524</v>
      </c>
      <c r="X61" s="14" t="s">
        <v>524</v>
      </c>
      <c r="Y61" s="42" t="s">
        <v>601</v>
      </c>
      <c r="Z61" s="100"/>
      <c r="AB61" s="8" t="s">
        <v>582</v>
      </c>
      <c r="AC61" s="8" t="s">
        <v>212</v>
      </c>
      <c r="AD61" s="8" t="s">
        <v>595</v>
      </c>
      <c r="AE61" s="8" t="s">
        <v>572</v>
      </c>
      <c r="AF61" s="8" t="s">
        <v>596</v>
      </c>
      <c r="AG61" s="8"/>
      <c r="AH61" s="8" t="s">
        <v>573</v>
      </c>
      <c r="AI61" s="8" t="s">
        <v>145</v>
      </c>
      <c r="AJ61" s="8" t="s">
        <v>514</v>
      </c>
      <c r="AK61" s="8" t="s">
        <v>190</v>
      </c>
      <c r="AL61" s="8" t="s">
        <v>190</v>
      </c>
      <c r="AM61" s="8" t="s">
        <v>190</v>
      </c>
      <c r="AN61" s="8" t="s">
        <v>192</v>
      </c>
      <c r="AP61" s="34" t="s">
        <v>608</v>
      </c>
      <c r="AQ61" s="8" t="s">
        <v>595</v>
      </c>
      <c r="AR61" s="8" t="s">
        <v>572</v>
      </c>
      <c r="AS61" s="8" t="s">
        <v>596</v>
      </c>
      <c r="AT61" s="8"/>
      <c r="AU61" s="8" t="s">
        <v>573</v>
      </c>
      <c r="AV61" s="8" t="s">
        <v>145</v>
      </c>
      <c r="AW61" s="8" t="s">
        <v>514</v>
      </c>
      <c r="AX61" s="8" t="s">
        <v>190</v>
      </c>
      <c r="AY61" s="8" t="s">
        <v>190</v>
      </c>
      <c r="AZ61" s="8" t="s">
        <v>190</v>
      </c>
      <c r="BA61" s="8" t="s">
        <v>192</v>
      </c>
    </row>
    <row r="62" spans="12:53" x14ac:dyDescent="0.25">
      <c r="L62" s="7" t="s">
        <v>599</v>
      </c>
      <c r="M62" s="7" t="s">
        <v>520</v>
      </c>
      <c r="N62" s="7" t="s">
        <v>549</v>
      </c>
      <c r="O62" s="7"/>
      <c r="P62" s="7" t="s">
        <v>600</v>
      </c>
      <c r="Q62" s="7"/>
      <c r="R62" s="7" t="s">
        <v>551</v>
      </c>
      <c r="S62" s="7" t="s">
        <v>145</v>
      </c>
      <c r="T62" s="14" t="s">
        <v>514</v>
      </c>
      <c r="U62" s="7"/>
      <c r="V62" s="14" t="s">
        <v>524</v>
      </c>
      <c r="W62" s="14" t="s">
        <v>524</v>
      </c>
      <c r="X62" s="14" t="s">
        <v>524</v>
      </c>
      <c r="Y62" s="42" t="s">
        <v>601</v>
      </c>
      <c r="AB62" s="7" t="s">
        <v>582</v>
      </c>
      <c r="AC62" s="7" t="s">
        <v>212</v>
      </c>
      <c r="AD62" s="7" t="s">
        <v>549</v>
      </c>
      <c r="AE62" s="7"/>
      <c r="AF62" s="7" t="s">
        <v>583</v>
      </c>
      <c r="AG62" s="7" t="s">
        <v>584</v>
      </c>
      <c r="AH62" s="7" t="s">
        <v>570</v>
      </c>
      <c r="AI62" s="7" t="s">
        <v>145</v>
      </c>
      <c r="AJ62" s="7" t="s">
        <v>514</v>
      </c>
      <c r="AK62" s="7" t="s">
        <v>524</v>
      </c>
      <c r="AL62" s="7" t="s">
        <v>524</v>
      </c>
      <c r="AM62" s="7" t="s">
        <v>524</v>
      </c>
      <c r="AN62" s="7" t="s">
        <v>601</v>
      </c>
      <c r="AP62" s="14" t="str">
        <f t="shared" ref="AP62:AP70" si="6">AB62 &amp; "_" &amp; LEFT(AC62, 10)</f>
        <v>CD001655_2025-11-03</v>
      </c>
      <c r="AQ62" s="7" t="s">
        <v>549</v>
      </c>
      <c r="AR62" s="7"/>
      <c r="AS62" s="7" t="s">
        <v>583</v>
      </c>
      <c r="AT62" s="7" t="s">
        <v>584</v>
      </c>
      <c r="AU62" s="7" t="s">
        <v>570</v>
      </c>
      <c r="AV62" s="7" t="s">
        <v>145</v>
      </c>
      <c r="AW62" s="7" t="s">
        <v>514</v>
      </c>
      <c r="AX62" s="7" t="s">
        <v>524</v>
      </c>
      <c r="AY62" s="7" t="s">
        <v>524</v>
      </c>
      <c r="AZ62" s="7" t="s">
        <v>524</v>
      </c>
      <c r="BA62" s="7" t="s">
        <v>601</v>
      </c>
    </row>
    <row r="63" spans="12:53" x14ac:dyDescent="0.25">
      <c r="L63" s="7" t="s">
        <v>599</v>
      </c>
      <c r="M63" s="7" t="s">
        <v>520</v>
      </c>
      <c r="N63" s="7" t="s">
        <v>552</v>
      </c>
      <c r="O63" s="7"/>
      <c r="P63" s="7" t="s">
        <v>386</v>
      </c>
      <c r="Q63" s="7"/>
      <c r="R63" s="7" t="s">
        <v>554</v>
      </c>
      <c r="S63" s="7" t="s">
        <v>145</v>
      </c>
      <c r="T63" s="14" t="s">
        <v>514</v>
      </c>
      <c r="U63" s="7"/>
      <c r="V63" s="14" t="s">
        <v>524</v>
      </c>
      <c r="W63" s="14" t="s">
        <v>524</v>
      </c>
      <c r="X63" s="14" t="s">
        <v>524</v>
      </c>
      <c r="Y63" s="42" t="s">
        <v>601</v>
      </c>
      <c r="AB63" s="7" t="s">
        <v>582</v>
      </c>
      <c r="AC63" s="7" t="s">
        <v>212</v>
      </c>
      <c r="AD63" s="7" t="s">
        <v>552</v>
      </c>
      <c r="AE63" s="7" t="s">
        <v>584</v>
      </c>
      <c r="AF63" s="7" t="s">
        <v>585</v>
      </c>
      <c r="AG63" s="7"/>
      <c r="AH63" s="7" t="s">
        <v>586</v>
      </c>
      <c r="AI63" s="7" t="s">
        <v>145</v>
      </c>
      <c r="AJ63" s="7" t="s">
        <v>514</v>
      </c>
      <c r="AK63" s="7" t="s">
        <v>524</v>
      </c>
      <c r="AL63" s="7" t="s">
        <v>524</v>
      </c>
      <c r="AM63" s="7" t="s">
        <v>524</v>
      </c>
      <c r="AN63" s="7" t="s">
        <v>601</v>
      </c>
      <c r="AP63" s="14" t="str">
        <f t="shared" si="6"/>
        <v>CD001655_2025-11-03</v>
      </c>
      <c r="AQ63" s="7" t="s">
        <v>552</v>
      </c>
      <c r="AR63" s="7" t="s">
        <v>584</v>
      </c>
      <c r="AS63" s="7" t="s">
        <v>585</v>
      </c>
      <c r="AT63" s="7"/>
      <c r="AU63" s="7" t="s">
        <v>586</v>
      </c>
      <c r="AV63" s="7" t="s">
        <v>145</v>
      </c>
      <c r="AW63" s="7" t="s">
        <v>514</v>
      </c>
      <c r="AX63" s="7" t="s">
        <v>524</v>
      </c>
      <c r="AY63" s="7" t="s">
        <v>524</v>
      </c>
      <c r="AZ63" s="7" t="s">
        <v>524</v>
      </c>
      <c r="BA63" s="7" t="s">
        <v>601</v>
      </c>
    </row>
    <row r="64" spans="12:53" x14ac:dyDescent="0.25">
      <c r="AB64" s="7" t="s">
        <v>582</v>
      </c>
      <c r="AC64" s="7" t="s">
        <v>212</v>
      </c>
      <c r="AD64" s="7" t="s">
        <v>571</v>
      </c>
      <c r="AE64" s="7" t="s">
        <v>584</v>
      </c>
      <c r="AF64" s="7" t="s">
        <v>609</v>
      </c>
      <c r="AG64" s="7"/>
      <c r="AH64" s="7" t="s">
        <v>588</v>
      </c>
      <c r="AI64" s="7" t="s">
        <v>145</v>
      </c>
      <c r="AJ64" s="7" t="s">
        <v>514</v>
      </c>
      <c r="AK64" s="7" t="s">
        <v>524</v>
      </c>
      <c r="AL64" s="7" t="s">
        <v>524</v>
      </c>
      <c r="AM64" s="7" t="s">
        <v>524</v>
      </c>
      <c r="AN64" s="7" t="s">
        <v>601</v>
      </c>
      <c r="AP64" s="14" t="str">
        <f t="shared" si="6"/>
        <v>CD001655_2025-11-03</v>
      </c>
      <c r="AQ64" s="7" t="s">
        <v>571</v>
      </c>
      <c r="AR64" s="7" t="s">
        <v>584</v>
      </c>
      <c r="AS64" s="7" t="s">
        <v>609</v>
      </c>
      <c r="AT64" s="7"/>
      <c r="AU64" s="7" t="s">
        <v>588</v>
      </c>
      <c r="AV64" s="7" t="s">
        <v>145</v>
      </c>
      <c r="AW64" s="7" t="s">
        <v>514</v>
      </c>
      <c r="AX64" s="7" t="s">
        <v>524</v>
      </c>
      <c r="AY64" s="7" t="s">
        <v>524</v>
      </c>
      <c r="AZ64" s="7" t="s">
        <v>524</v>
      </c>
      <c r="BA64" s="7" t="s">
        <v>601</v>
      </c>
    </row>
    <row r="65" spans="28:53" x14ac:dyDescent="0.25">
      <c r="AB65" s="7" t="s">
        <v>582</v>
      </c>
      <c r="AC65" s="7" t="s">
        <v>212</v>
      </c>
      <c r="AD65" s="7" t="s">
        <v>574</v>
      </c>
      <c r="AE65" s="7" t="s">
        <v>584</v>
      </c>
      <c r="AF65" s="7" t="s">
        <v>611</v>
      </c>
      <c r="AG65" s="7"/>
      <c r="AH65" s="7" t="s">
        <v>590</v>
      </c>
      <c r="AI65" s="7" t="s">
        <v>145</v>
      </c>
      <c r="AJ65" s="7" t="s">
        <v>514</v>
      </c>
      <c r="AK65" s="7" t="s">
        <v>524</v>
      </c>
      <c r="AL65" s="7" t="s">
        <v>524</v>
      </c>
      <c r="AM65" s="7" t="s">
        <v>524</v>
      </c>
      <c r="AN65" s="7" t="s">
        <v>601</v>
      </c>
      <c r="AP65" s="14" t="str">
        <f t="shared" si="6"/>
        <v>CD001655_2025-11-03</v>
      </c>
      <c r="AQ65" s="7" t="s">
        <v>574</v>
      </c>
      <c r="AR65" s="7" t="s">
        <v>584</v>
      </c>
      <c r="AS65" s="7" t="s">
        <v>611</v>
      </c>
      <c r="AT65" s="7"/>
      <c r="AU65" s="7" t="s">
        <v>590</v>
      </c>
      <c r="AV65" s="7" t="s">
        <v>145</v>
      </c>
      <c r="AW65" s="7" t="s">
        <v>514</v>
      </c>
      <c r="AX65" s="7" t="s">
        <v>524</v>
      </c>
      <c r="AY65" s="7" t="s">
        <v>524</v>
      </c>
      <c r="AZ65" s="7" t="s">
        <v>524</v>
      </c>
      <c r="BA65" s="7" t="s">
        <v>601</v>
      </c>
    </row>
    <row r="66" spans="28:53" x14ac:dyDescent="0.25">
      <c r="AB66" s="7" t="s">
        <v>582</v>
      </c>
      <c r="AC66" s="7" t="s">
        <v>212</v>
      </c>
      <c r="AD66" s="7" t="s">
        <v>591</v>
      </c>
      <c r="AE66" s="7" t="s">
        <v>584</v>
      </c>
      <c r="AF66" s="7" t="s">
        <v>592</v>
      </c>
      <c r="AG66" s="7"/>
      <c r="AH66" s="7" t="s">
        <v>593</v>
      </c>
      <c r="AI66" s="7" t="s">
        <v>145</v>
      </c>
      <c r="AJ66" s="7" t="s">
        <v>514</v>
      </c>
      <c r="AK66" s="7" t="s">
        <v>524</v>
      </c>
      <c r="AL66" s="7" t="s">
        <v>524</v>
      </c>
      <c r="AM66" s="7" t="s">
        <v>524</v>
      </c>
      <c r="AN66" s="7" t="s">
        <v>601</v>
      </c>
      <c r="AP66" s="14" t="str">
        <f t="shared" si="6"/>
        <v>CD001655_2025-11-03</v>
      </c>
      <c r="AQ66" s="7" t="s">
        <v>591</v>
      </c>
      <c r="AR66" s="7" t="s">
        <v>584</v>
      </c>
      <c r="AS66" s="7" t="s">
        <v>592</v>
      </c>
      <c r="AT66" s="7"/>
      <c r="AU66" s="7" t="s">
        <v>593</v>
      </c>
      <c r="AV66" s="7" t="s">
        <v>145</v>
      </c>
      <c r="AW66" s="7" t="s">
        <v>514</v>
      </c>
      <c r="AX66" s="7" t="s">
        <v>524</v>
      </c>
      <c r="AY66" s="7" t="s">
        <v>524</v>
      </c>
      <c r="AZ66" s="7" t="s">
        <v>524</v>
      </c>
      <c r="BA66" s="7" t="s">
        <v>601</v>
      </c>
    </row>
    <row r="67" spans="28:53" x14ac:dyDescent="0.25">
      <c r="AB67" s="7" t="s">
        <v>582</v>
      </c>
      <c r="AC67" s="7" t="s">
        <v>212</v>
      </c>
      <c r="AD67" s="7" t="s">
        <v>594</v>
      </c>
      <c r="AE67" s="7" t="s">
        <v>572</v>
      </c>
      <c r="AF67" s="7" t="s">
        <v>587</v>
      </c>
      <c r="AG67" s="7"/>
      <c r="AH67" s="7" t="s">
        <v>573</v>
      </c>
      <c r="AI67" s="7" t="s">
        <v>145</v>
      </c>
      <c r="AJ67" s="7" t="s">
        <v>514</v>
      </c>
      <c r="AK67" s="7" t="s">
        <v>524</v>
      </c>
      <c r="AL67" s="7" t="s">
        <v>524</v>
      </c>
      <c r="AM67" s="7" t="s">
        <v>524</v>
      </c>
      <c r="AN67" s="7" t="s">
        <v>601</v>
      </c>
      <c r="AP67" s="14" t="str">
        <f t="shared" si="6"/>
        <v>CD001655_2025-11-03</v>
      </c>
      <c r="AQ67" s="7" t="s">
        <v>594</v>
      </c>
      <c r="AR67" s="7" t="s">
        <v>572</v>
      </c>
      <c r="AS67" s="7" t="s">
        <v>587</v>
      </c>
      <c r="AT67" s="7"/>
      <c r="AU67" s="7" t="s">
        <v>573</v>
      </c>
      <c r="AV67" s="7" t="s">
        <v>145</v>
      </c>
      <c r="AW67" s="7" t="s">
        <v>514</v>
      </c>
      <c r="AX67" s="7" t="s">
        <v>524</v>
      </c>
      <c r="AY67" s="7" t="s">
        <v>524</v>
      </c>
      <c r="AZ67" s="7" t="s">
        <v>524</v>
      </c>
      <c r="BA67" s="7" t="s">
        <v>601</v>
      </c>
    </row>
    <row r="68" spans="28:53" x14ac:dyDescent="0.25">
      <c r="AB68" s="7" t="s">
        <v>582</v>
      </c>
      <c r="AC68" s="7" t="s">
        <v>212</v>
      </c>
      <c r="AD68" s="7" t="s">
        <v>595</v>
      </c>
      <c r="AE68" s="7" t="s">
        <v>572</v>
      </c>
      <c r="AF68" s="7" t="s">
        <v>596</v>
      </c>
      <c r="AG68" s="7"/>
      <c r="AH68" s="7" t="s">
        <v>573</v>
      </c>
      <c r="AI68" s="7" t="s">
        <v>145</v>
      </c>
      <c r="AJ68" s="7" t="s">
        <v>514</v>
      </c>
      <c r="AK68" s="7" t="s">
        <v>524</v>
      </c>
      <c r="AL68" s="7" t="s">
        <v>524</v>
      </c>
      <c r="AM68" s="7" t="s">
        <v>524</v>
      </c>
      <c r="AN68" s="7" t="s">
        <v>601</v>
      </c>
      <c r="AP68" s="14" t="str">
        <f t="shared" si="6"/>
        <v>CD001655_2025-11-03</v>
      </c>
      <c r="AQ68" s="7" t="s">
        <v>595</v>
      </c>
      <c r="AR68" s="7" t="s">
        <v>572</v>
      </c>
      <c r="AS68" s="7" t="s">
        <v>596</v>
      </c>
      <c r="AT68" s="7"/>
      <c r="AU68" s="7" t="s">
        <v>573</v>
      </c>
      <c r="AV68" s="7" t="s">
        <v>145</v>
      </c>
      <c r="AW68" s="7" t="s">
        <v>514</v>
      </c>
      <c r="AX68" s="7" t="s">
        <v>524</v>
      </c>
      <c r="AY68" s="7" t="s">
        <v>524</v>
      </c>
      <c r="AZ68" s="7" t="s">
        <v>524</v>
      </c>
      <c r="BA68" s="7" t="s">
        <v>601</v>
      </c>
    </row>
    <row r="69" spans="28:53" x14ac:dyDescent="0.25">
      <c r="AB69" s="7" t="s">
        <v>599</v>
      </c>
      <c r="AC69" s="7" t="s">
        <v>520</v>
      </c>
      <c r="AD69" s="7" t="s">
        <v>549</v>
      </c>
      <c r="AE69" s="7"/>
      <c r="AF69" s="7" t="s">
        <v>600</v>
      </c>
      <c r="AG69" s="7"/>
      <c r="AH69" s="7" t="s">
        <v>551</v>
      </c>
      <c r="AI69" s="7" t="s">
        <v>145</v>
      </c>
      <c r="AJ69" s="14" t="s">
        <v>514</v>
      </c>
      <c r="AK69" s="7" t="s">
        <v>524</v>
      </c>
      <c r="AL69" s="7" t="s">
        <v>524</v>
      </c>
      <c r="AM69" s="7" t="s">
        <v>524</v>
      </c>
      <c r="AN69" s="7" t="s">
        <v>601</v>
      </c>
      <c r="AP69" s="14" t="str">
        <f t="shared" si="6"/>
        <v>JC885958_2025-11-04</v>
      </c>
      <c r="AQ69" s="7" t="s">
        <v>549</v>
      </c>
      <c r="AR69" s="7"/>
      <c r="AS69" s="7" t="s">
        <v>600</v>
      </c>
      <c r="AT69" s="7"/>
      <c r="AU69" s="7" t="s">
        <v>551</v>
      </c>
      <c r="AV69" s="7" t="s">
        <v>145</v>
      </c>
      <c r="AW69" s="7" t="s">
        <v>514</v>
      </c>
      <c r="AX69" s="7" t="s">
        <v>524</v>
      </c>
      <c r="AY69" s="7" t="s">
        <v>524</v>
      </c>
      <c r="AZ69" s="7" t="s">
        <v>524</v>
      </c>
      <c r="BA69" s="7" t="s">
        <v>601</v>
      </c>
    </row>
    <row r="70" spans="28:53" x14ac:dyDescent="0.25">
      <c r="AB70" s="7" t="s">
        <v>599</v>
      </c>
      <c r="AC70" s="7" t="s">
        <v>520</v>
      </c>
      <c r="AD70" s="7" t="s">
        <v>552</v>
      </c>
      <c r="AE70" s="7"/>
      <c r="AF70" s="7" t="s">
        <v>386</v>
      </c>
      <c r="AG70" s="7"/>
      <c r="AH70" s="7" t="s">
        <v>554</v>
      </c>
      <c r="AI70" s="7" t="s">
        <v>145</v>
      </c>
      <c r="AJ70" s="14" t="s">
        <v>514</v>
      </c>
      <c r="AK70" s="7" t="s">
        <v>524</v>
      </c>
      <c r="AL70" s="7" t="s">
        <v>524</v>
      </c>
      <c r="AM70" s="7" t="s">
        <v>524</v>
      </c>
      <c r="AN70" s="7" t="s">
        <v>601</v>
      </c>
      <c r="AP70" s="14" t="str">
        <f t="shared" si="6"/>
        <v>JC885958_2025-11-04</v>
      </c>
      <c r="AQ70" s="7" t="s">
        <v>552</v>
      </c>
      <c r="AR70" s="7"/>
      <c r="AS70" s="7" t="s">
        <v>386</v>
      </c>
      <c r="AT70" s="7"/>
      <c r="AU70" s="7" t="s">
        <v>554</v>
      </c>
      <c r="AV70" s="7" t="s">
        <v>145</v>
      </c>
      <c r="AW70" s="7" t="s">
        <v>514</v>
      </c>
      <c r="AX70" s="7" t="s">
        <v>524</v>
      </c>
      <c r="AY70" s="7" t="s">
        <v>524</v>
      </c>
      <c r="AZ70" s="7" t="s">
        <v>524</v>
      </c>
      <c r="BA70" s="7" t="s">
        <v>601</v>
      </c>
    </row>
  </sheetData>
  <mergeCells count="4">
    <mergeCell ref="X4:Y4"/>
    <mergeCell ref="AM4:AN4"/>
    <mergeCell ref="AZ4:BA4"/>
    <mergeCell ref="Z55:Z6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89900-7BE4-435E-B1C7-715CB0C60F03}">
  <dimension ref="A2:AO35"/>
  <sheetViews>
    <sheetView topLeftCell="W1" zoomScale="85" zoomScaleNormal="85" workbookViewId="0">
      <selection activeCell="N41" sqref="N41"/>
    </sheetView>
  </sheetViews>
  <sheetFormatPr defaultColWidth="8.85546875" defaultRowHeight="15" x14ac:dyDescent="0.25"/>
  <cols>
    <col min="1" max="1" width="15.28515625" style="2" customWidth="1"/>
    <col min="2" max="2" width="11.7109375" style="2" bestFit="1" customWidth="1"/>
    <col min="3" max="3" width="8.7109375" style="2" bestFit="1" customWidth="1"/>
    <col min="4" max="4" width="21.7109375" style="2" bestFit="1" customWidth="1"/>
    <col min="5" max="5" width="9.7109375" style="2" bestFit="1" customWidth="1"/>
    <col min="6" max="6" width="15.5703125" style="2" bestFit="1" customWidth="1"/>
    <col min="7" max="7" width="21.7109375" style="2" bestFit="1" customWidth="1"/>
    <col min="8" max="8" width="11.7109375" style="2" bestFit="1" customWidth="1"/>
    <col min="9" max="9" width="15" style="2" bestFit="1" customWidth="1"/>
    <col min="10" max="10" width="3.85546875" style="40" customWidth="1"/>
    <col min="11" max="11" width="10.7109375" style="2" bestFit="1" customWidth="1"/>
    <col min="12" max="12" width="8.7109375" style="2" bestFit="1" customWidth="1"/>
    <col min="13" max="13" width="21.7109375" style="2" bestFit="1" customWidth="1"/>
    <col min="14" max="14" width="9.7109375" style="2" bestFit="1" customWidth="1"/>
    <col min="15" max="15" width="15.5703125" style="2" bestFit="1" customWidth="1"/>
    <col min="16" max="16" width="21.7109375" style="2" bestFit="1" customWidth="1"/>
    <col min="17" max="17" width="9" style="2" customWidth="1"/>
    <col min="18" max="18" width="15" style="2" bestFit="1" customWidth="1"/>
    <col min="19" max="19" width="3.85546875" style="40" customWidth="1"/>
    <col min="20" max="20" width="10.7109375" style="2" bestFit="1" customWidth="1"/>
    <col min="21" max="21" width="8.7109375" style="2" bestFit="1" customWidth="1"/>
    <col min="22" max="22" width="21.7109375" style="2" bestFit="1" customWidth="1"/>
    <col min="23" max="23" width="9.7109375" style="2" bestFit="1" customWidth="1"/>
    <col min="24" max="24" width="15.5703125" style="2" bestFit="1" customWidth="1"/>
    <col min="25" max="25" width="21.7109375" style="2" bestFit="1" customWidth="1"/>
    <col min="26" max="26" width="9" style="2" customWidth="1"/>
    <col min="27" max="27" width="15" style="2" bestFit="1" customWidth="1"/>
    <col min="28" max="28" width="3.85546875" style="40" customWidth="1"/>
    <col min="29" max="29" width="10.7109375" style="2" bestFit="1" customWidth="1"/>
    <col min="30" max="30" width="8.7109375" style="2" bestFit="1" customWidth="1"/>
    <col min="31" max="31" width="21.7109375" style="2" bestFit="1" customWidth="1"/>
    <col min="32" max="32" width="9.7109375" style="2" bestFit="1" customWidth="1"/>
    <col min="33" max="33" width="15.5703125" style="2" bestFit="1" customWidth="1"/>
    <col min="34" max="34" width="21.7109375" style="2" bestFit="1" customWidth="1"/>
    <col min="35" max="35" width="13.85546875" style="2" bestFit="1" customWidth="1"/>
    <col min="36" max="36" width="9" style="2" customWidth="1"/>
    <col min="37" max="37" width="15" style="2" bestFit="1" customWidth="1"/>
    <col min="38" max="38" width="38" style="2" bestFit="1" customWidth="1"/>
    <col min="39" max="39" width="18.7109375" style="2" bestFit="1" customWidth="1"/>
    <col min="40" max="40" width="10" style="2" bestFit="1" customWidth="1"/>
    <col min="41" max="41" width="13.28515625" style="2" bestFit="1" customWidth="1"/>
    <col min="42" max="42" width="9.5703125" style="2" bestFit="1" customWidth="1"/>
    <col min="43" max="43" width="9" style="2" bestFit="1" customWidth="1"/>
    <col min="44" max="44" width="10.7109375" style="2" bestFit="1" customWidth="1"/>
    <col min="45" max="16384" width="8.85546875" style="2"/>
  </cols>
  <sheetData>
    <row r="2" spans="1:41" s="3" customFormat="1" x14ac:dyDescent="0.25">
      <c r="A2" s="3" t="s">
        <v>198</v>
      </c>
      <c r="J2" s="39"/>
      <c r="S2" s="39"/>
      <c r="AB2" s="39"/>
    </row>
    <row r="3" spans="1:41" s="1" customFormat="1" x14ac:dyDescent="0.25">
      <c r="B3" s="1" t="s">
        <v>57</v>
      </c>
      <c r="J3" s="39"/>
      <c r="K3" s="1" t="s">
        <v>58</v>
      </c>
      <c r="S3" s="39"/>
      <c r="T3" s="1" t="s">
        <v>35</v>
      </c>
      <c r="AB3" s="39"/>
      <c r="AC3" s="1" t="s">
        <v>43</v>
      </c>
    </row>
    <row r="4" spans="1:41" s="1" customFormat="1" x14ac:dyDescent="0.25">
      <c r="H4" s="1" t="s">
        <v>118</v>
      </c>
      <c r="J4" s="39"/>
      <c r="S4" s="39"/>
      <c r="AB4" s="39"/>
      <c r="AI4" s="1" t="s">
        <v>118</v>
      </c>
    </row>
    <row r="5" spans="1:41" s="1" customFormat="1" x14ac:dyDescent="0.25">
      <c r="A5" s="5"/>
      <c r="B5" s="1" t="s">
        <v>199</v>
      </c>
      <c r="C5" s="1" t="s">
        <v>200</v>
      </c>
      <c r="D5" s="1" t="s">
        <v>201</v>
      </c>
      <c r="E5" s="1" t="s">
        <v>202</v>
      </c>
      <c r="F5" s="1" t="s">
        <v>203</v>
      </c>
      <c r="G5" s="1" t="s">
        <v>204</v>
      </c>
      <c r="H5" s="1" t="s">
        <v>68</v>
      </c>
      <c r="I5" s="1" t="s">
        <v>133</v>
      </c>
      <c r="J5" s="39"/>
      <c r="K5" s="1" t="s">
        <v>199</v>
      </c>
      <c r="L5" s="1" t="s">
        <v>200</v>
      </c>
      <c r="M5" s="1" t="s">
        <v>201</v>
      </c>
      <c r="N5" s="1" t="s">
        <v>202</v>
      </c>
      <c r="O5" s="1" t="s">
        <v>203</v>
      </c>
      <c r="P5" s="1" t="s">
        <v>204</v>
      </c>
      <c r="Q5" s="1" t="s">
        <v>68</v>
      </c>
      <c r="R5" s="1" t="s">
        <v>133</v>
      </c>
      <c r="S5" s="39"/>
      <c r="T5" s="1" t="s">
        <v>199</v>
      </c>
      <c r="U5" s="1" t="s">
        <v>200</v>
      </c>
      <c r="V5" s="1" t="s">
        <v>201</v>
      </c>
      <c r="W5" s="1" t="s">
        <v>202</v>
      </c>
      <c r="X5" s="1" t="s">
        <v>203</v>
      </c>
      <c r="Y5" s="1" t="s">
        <v>204</v>
      </c>
      <c r="Z5" s="1" t="s">
        <v>68</v>
      </c>
      <c r="AA5" s="1" t="s">
        <v>133</v>
      </c>
      <c r="AB5" s="39"/>
      <c r="AC5" s="1" t="s">
        <v>199</v>
      </c>
      <c r="AD5" s="1" t="s">
        <v>205</v>
      </c>
      <c r="AE5" s="1" t="s">
        <v>206</v>
      </c>
      <c r="AF5" s="1" t="s">
        <v>202</v>
      </c>
      <c r="AG5" s="1" t="s">
        <v>203</v>
      </c>
      <c r="AH5" s="1" t="s">
        <v>204</v>
      </c>
      <c r="AI5" s="1" t="s">
        <v>612</v>
      </c>
      <c r="AJ5" s="1" t="s">
        <v>68</v>
      </c>
      <c r="AK5" s="1" t="s">
        <v>133</v>
      </c>
    </row>
    <row r="6" spans="1:41" s="1" customFormat="1" x14ac:dyDescent="0.25">
      <c r="A6" s="5" t="s">
        <v>139</v>
      </c>
      <c r="B6" s="2" t="s">
        <v>207</v>
      </c>
      <c r="C6" s="2" t="s">
        <v>208</v>
      </c>
      <c r="D6" s="2" t="s">
        <v>209</v>
      </c>
      <c r="E6" s="2" t="s">
        <v>210</v>
      </c>
      <c r="F6" s="2" t="s">
        <v>211</v>
      </c>
      <c r="G6" s="2" t="s">
        <v>212</v>
      </c>
      <c r="H6" s="2" t="s">
        <v>139</v>
      </c>
      <c r="I6" s="2" t="s">
        <v>144</v>
      </c>
      <c r="J6" s="40"/>
      <c r="K6" s="2" t="s">
        <v>207</v>
      </c>
      <c r="L6" s="2" t="s">
        <v>208</v>
      </c>
      <c r="M6" s="2" t="s">
        <v>209</v>
      </c>
      <c r="N6" s="2" t="s">
        <v>210</v>
      </c>
      <c r="O6" s="2" t="s">
        <v>211</v>
      </c>
      <c r="P6" s="2" t="s">
        <v>212</v>
      </c>
      <c r="Q6" s="2" t="s">
        <v>139</v>
      </c>
      <c r="R6" s="2" t="s">
        <v>144</v>
      </c>
      <c r="S6" s="40"/>
      <c r="T6" s="2" t="s">
        <v>207</v>
      </c>
      <c r="U6" s="2" t="s">
        <v>208</v>
      </c>
      <c r="V6" s="2" t="s">
        <v>209</v>
      </c>
      <c r="W6" s="2" t="s">
        <v>210</v>
      </c>
      <c r="X6" s="2" t="s">
        <v>211</v>
      </c>
      <c r="Y6" s="2" t="s">
        <v>212</v>
      </c>
      <c r="Z6" s="2" t="s">
        <v>139</v>
      </c>
      <c r="AA6" s="2" t="s">
        <v>144</v>
      </c>
      <c r="AB6" s="40"/>
      <c r="AC6" s="2" t="s">
        <v>207</v>
      </c>
      <c r="AD6" s="2" t="s">
        <v>208</v>
      </c>
      <c r="AE6" s="2" t="s">
        <v>209</v>
      </c>
      <c r="AF6" s="2" t="s">
        <v>210</v>
      </c>
      <c r="AG6" s="2" t="s">
        <v>211</v>
      </c>
      <c r="AH6" s="2" t="s">
        <v>212</v>
      </c>
      <c r="AI6" s="2" t="s">
        <v>139</v>
      </c>
      <c r="AJ6" s="2" t="s">
        <v>139</v>
      </c>
      <c r="AK6" s="2" t="s">
        <v>144</v>
      </c>
      <c r="AL6" s="2"/>
      <c r="AM6" s="2"/>
      <c r="AN6" s="2"/>
      <c r="AO6" s="2"/>
    </row>
    <row r="7" spans="1:41" x14ac:dyDescent="0.25">
      <c r="B7" s="2" t="s">
        <v>207</v>
      </c>
      <c r="C7" s="2" t="s">
        <v>213</v>
      </c>
      <c r="D7" s="2" t="s">
        <v>209</v>
      </c>
      <c r="E7" s="2" t="s">
        <v>214</v>
      </c>
      <c r="F7" s="2" t="s">
        <v>215</v>
      </c>
      <c r="G7" s="2" t="s">
        <v>212</v>
      </c>
      <c r="H7" s="2" t="s">
        <v>139</v>
      </c>
      <c r="I7" s="2" t="s">
        <v>144</v>
      </c>
      <c r="K7" s="2" t="s">
        <v>207</v>
      </c>
      <c r="L7" s="2" t="s">
        <v>213</v>
      </c>
      <c r="M7" s="2" t="s">
        <v>209</v>
      </c>
      <c r="N7" s="2" t="s">
        <v>214</v>
      </c>
      <c r="O7" s="2" t="s">
        <v>215</v>
      </c>
      <c r="P7" s="2" t="s">
        <v>212</v>
      </c>
      <c r="Q7" s="2" t="s">
        <v>139</v>
      </c>
      <c r="R7" s="2" t="s">
        <v>144</v>
      </c>
      <c r="T7" s="2" t="s">
        <v>207</v>
      </c>
      <c r="U7" s="2" t="s">
        <v>213</v>
      </c>
      <c r="V7" s="2" t="s">
        <v>209</v>
      </c>
      <c r="W7" s="2" t="s">
        <v>214</v>
      </c>
      <c r="X7" s="2" t="s">
        <v>215</v>
      </c>
      <c r="Y7" s="2" t="s">
        <v>212</v>
      </c>
      <c r="Z7" s="2" t="s">
        <v>139</v>
      </c>
      <c r="AA7" s="2" t="s">
        <v>144</v>
      </c>
      <c r="AC7" s="2" t="s">
        <v>207</v>
      </c>
      <c r="AD7" s="2" t="s">
        <v>213</v>
      </c>
      <c r="AE7" s="2" t="s">
        <v>209</v>
      </c>
      <c r="AF7" s="2" t="s">
        <v>214</v>
      </c>
      <c r="AG7" s="2" t="s">
        <v>215</v>
      </c>
      <c r="AH7" s="2" t="s">
        <v>212</v>
      </c>
      <c r="AI7" s="2" t="s">
        <v>139</v>
      </c>
      <c r="AJ7" s="2" t="s">
        <v>139</v>
      </c>
      <c r="AK7" s="2" t="s">
        <v>144</v>
      </c>
    </row>
    <row r="8" spans="1:41" x14ac:dyDescent="0.25">
      <c r="B8" s="2" t="s">
        <v>216</v>
      </c>
      <c r="C8" s="2" t="s">
        <v>213</v>
      </c>
      <c r="D8" s="2" t="s">
        <v>209</v>
      </c>
      <c r="E8" s="2" t="s">
        <v>217</v>
      </c>
      <c r="F8" s="2" t="s">
        <v>218</v>
      </c>
      <c r="G8" s="2" t="s">
        <v>212</v>
      </c>
      <c r="H8" s="2" t="s">
        <v>139</v>
      </c>
      <c r="I8" s="2" t="s">
        <v>144</v>
      </c>
      <c r="K8" s="2" t="s">
        <v>216</v>
      </c>
      <c r="L8" s="2" t="s">
        <v>213</v>
      </c>
      <c r="M8" s="2" t="s">
        <v>209</v>
      </c>
      <c r="N8" s="2" t="s">
        <v>217</v>
      </c>
      <c r="O8" s="2" t="s">
        <v>218</v>
      </c>
      <c r="P8" s="2" t="s">
        <v>212</v>
      </c>
      <c r="Q8" s="2" t="s">
        <v>139</v>
      </c>
      <c r="R8" s="2" t="s">
        <v>144</v>
      </c>
      <c r="T8" s="2" t="s">
        <v>216</v>
      </c>
      <c r="U8" s="2" t="s">
        <v>213</v>
      </c>
      <c r="V8" s="2" t="s">
        <v>209</v>
      </c>
      <c r="W8" s="2" t="s">
        <v>217</v>
      </c>
      <c r="X8" s="2" t="s">
        <v>218</v>
      </c>
      <c r="Y8" s="2" t="s">
        <v>212</v>
      </c>
      <c r="Z8" s="2" t="s">
        <v>139</v>
      </c>
      <c r="AA8" s="2" t="s">
        <v>144</v>
      </c>
      <c r="AC8" s="2" t="s">
        <v>216</v>
      </c>
      <c r="AD8" s="2" t="s">
        <v>213</v>
      </c>
      <c r="AE8" s="2" t="s">
        <v>209</v>
      </c>
      <c r="AF8" s="2" t="s">
        <v>217</v>
      </c>
      <c r="AG8" s="2" t="s">
        <v>218</v>
      </c>
      <c r="AH8" s="2" t="s">
        <v>212</v>
      </c>
      <c r="AI8" s="2" t="s">
        <v>139</v>
      </c>
      <c r="AJ8" s="2" t="s">
        <v>139</v>
      </c>
      <c r="AK8" s="2" t="s">
        <v>144</v>
      </c>
    </row>
    <row r="9" spans="1:41" x14ac:dyDescent="0.25">
      <c r="B9" s="2" t="s">
        <v>219</v>
      </c>
      <c r="C9" s="2" t="s">
        <v>213</v>
      </c>
      <c r="D9" s="2" t="s">
        <v>209</v>
      </c>
      <c r="E9" s="2" t="s">
        <v>214</v>
      </c>
      <c r="F9" s="2" t="s">
        <v>220</v>
      </c>
      <c r="G9" s="2" t="s">
        <v>212</v>
      </c>
      <c r="H9" s="2" t="s">
        <v>139</v>
      </c>
      <c r="I9" s="2" t="s">
        <v>144</v>
      </c>
      <c r="K9" s="2" t="s">
        <v>219</v>
      </c>
      <c r="L9" s="2" t="s">
        <v>213</v>
      </c>
      <c r="M9" s="2" t="s">
        <v>209</v>
      </c>
      <c r="N9" s="2" t="s">
        <v>214</v>
      </c>
      <c r="O9" s="2" t="s">
        <v>220</v>
      </c>
      <c r="P9" s="2" t="s">
        <v>212</v>
      </c>
      <c r="Q9" s="2" t="s">
        <v>139</v>
      </c>
      <c r="R9" s="2" t="s">
        <v>144</v>
      </c>
      <c r="T9" s="2" t="s">
        <v>219</v>
      </c>
      <c r="U9" s="2" t="s">
        <v>213</v>
      </c>
      <c r="V9" s="2" t="s">
        <v>209</v>
      </c>
      <c r="W9" s="2" t="s">
        <v>214</v>
      </c>
      <c r="X9" s="2" t="s">
        <v>220</v>
      </c>
      <c r="Y9" s="2" t="s">
        <v>212</v>
      </c>
      <c r="Z9" s="2" t="s">
        <v>139</v>
      </c>
      <c r="AA9" s="2" t="s">
        <v>144</v>
      </c>
      <c r="AC9" s="2" t="s">
        <v>219</v>
      </c>
      <c r="AD9" s="2" t="s">
        <v>213</v>
      </c>
      <c r="AE9" s="2" t="s">
        <v>209</v>
      </c>
      <c r="AF9" s="2" t="s">
        <v>214</v>
      </c>
      <c r="AG9" s="2" t="s">
        <v>220</v>
      </c>
      <c r="AH9" s="2" t="s">
        <v>212</v>
      </c>
      <c r="AI9" s="2" t="s">
        <v>139</v>
      </c>
      <c r="AJ9" s="2" t="s">
        <v>139</v>
      </c>
      <c r="AK9" s="2" t="s">
        <v>144</v>
      </c>
    </row>
    <row r="10" spans="1:41" x14ac:dyDescent="0.25">
      <c r="B10" s="2" t="s">
        <v>221</v>
      </c>
      <c r="C10" s="2" t="s">
        <v>222</v>
      </c>
      <c r="D10" s="2" t="s">
        <v>209</v>
      </c>
      <c r="E10" s="2" t="s">
        <v>223</v>
      </c>
      <c r="F10" s="2" t="s">
        <v>224</v>
      </c>
      <c r="G10" s="2" t="s">
        <v>212</v>
      </c>
      <c r="H10" s="2" t="s">
        <v>139</v>
      </c>
      <c r="I10" s="2" t="s">
        <v>144</v>
      </c>
      <c r="K10" s="2" t="s">
        <v>221</v>
      </c>
      <c r="L10" s="2" t="s">
        <v>222</v>
      </c>
      <c r="M10" s="2" t="s">
        <v>209</v>
      </c>
      <c r="N10" s="2" t="s">
        <v>223</v>
      </c>
      <c r="O10" s="2" t="s">
        <v>224</v>
      </c>
      <c r="P10" s="2" t="s">
        <v>212</v>
      </c>
      <c r="Q10" s="2" t="s">
        <v>139</v>
      </c>
      <c r="R10" s="2" t="s">
        <v>144</v>
      </c>
      <c r="T10" s="2" t="s">
        <v>221</v>
      </c>
      <c r="U10" s="2" t="s">
        <v>222</v>
      </c>
      <c r="V10" s="2" t="s">
        <v>209</v>
      </c>
      <c r="W10" s="2" t="s">
        <v>223</v>
      </c>
      <c r="X10" s="2" t="s">
        <v>224</v>
      </c>
      <c r="Y10" s="2" t="s">
        <v>212</v>
      </c>
      <c r="Z10" s="2" t="s">
        <v>139</v>
      </c>
      <c r="AA10" s="2" t="s">
        <v>144</v>
      </c>
      <c r="AC10" s="2" t="s">
        <v>221</v>
      </c>
      <c r="AD10" s="2" t="s">
        <v>222</v>
      </c>
      <c r="AE10" s="2" t="s">
        <v>209</v>
      </c>
      <c r="AF10" s="2" t="s">
        <v>223</v>
      </c>
      <c r="AG10" s="2" t="s">
        <v>224</v>
      </c>
      <c r="AH10" s="2" t="s">
        <v>212</v>
      </c>
      <c r="AI10" s="2" t="s">
        <v>139</v>
      </c>
      <c r="AJ10" s="2" t="s">
        <v>139</v>
      </c>
      <c r="AK10" s="2" t="s">
        <v>144</v>
      </c>
    </row>
    <row r="11" spans="1:41" x14ac:dyDescent="0.25">
      <c r="B11" s="2" t="s">
        <v>221</v>
      </c>
      <c r="C11" s="2" t="s">
        <v>225</v>
      </c>
      <c r="D11" s="2" t="s">
        <v>209</v>
      </c>
      <c r="E11" s="2" t="s">
        <v>226</v>
      </c>
      <c r="F11" s="2" t="s">
        <v>227</v>
      </c>
      <c r="G11" s="2" t="s">
        <v>212</v>
      </c>
      <c r="H11" s="2" t="s">
        <v>139</v>
      </c>
      <c r="I11" s="2" t="s">
        <v>144</v>
      </c>
      <c r="K11" s="2" t="s">
        <v>221</v>
      </c>
      <c r="L11" s="2" t="s">
        <v>225</v>
      </c>
      <c r="M11" s="2" t="s">
        <v>209</v>
      </c>
      <c r="N11" s="2" t="s">
        <v>226</v>
      </c>
      <c r="O11" s="2" t="s">
        <v>227</v>
      </c>
      <c r="P11" s="2" t="s">
        <v>212</v>
      </c>
      <c r="Q11" s="2" t="s">
        <v>139</v>
      </c>
      <c r="R11" s="2" t="s">
        <v>144</v>
      </c>
      <c r="T11" s="2" t="s">
        <v>221</v>
      </c>
      <c r="U11" s="2" t="s">
        <v>225</v>
      </c>
      <c r="V11" s="2" t="s">
        <v>209</v>
      </c>
      <c r="W11" s="2" t="s">
        <v>226</v>
      </c>
      <c r="X11" s="2" t="s">
        <v>227</v>
      </c>
      <c r="Y11" s="2" t="s">
        <v>212</v>
      </c>
      <c r="Z11" s="2" t="s">
        <v>139</v>
      </c>
      <c r="AA11" s="2" t="s">
        <v>144</v>
      </c>
      <c r="AC11" s="2" t="s">
        <v>221</v>
      </c>
      <c r="AD11" s="2" t="s">
        <v>225</v>
      </c>
      <c r="AE11" s="2" t="s">
        <v>209</v>
      </c>
      <c r="AF11" s="2" t="s">
        <v>226</v>
      </c>
      <c r="AG11" s="2" t="s">
        <v>227</v>
      </c>
      <c r="AH11" s="2" t="s">
        <v>212</v>
      </c>
      <c r="AI11" s="2" t="s">
        <v>139</v>
      </c>
      <c r="AJ11" s="2" t="s">
        <v>139</v>
      </c>
      <c r="AK11" s="2" t="s">
        <v>144</v>
      </c>
    </row>
    <row r="12" spans="1:41" x14ac:dyDescent="0.25">
      <c r="B12" s="2" t="s">
        <v>228</v>
      </c>
      <c r="C12" s="2" t="s">
        <v>222</v>
      </c>
      <c r="D12" s="2" t="s">
        <v>209</v>
      </c>
      <c r="E12" s="2" t="s">
        <v>229</v>
      </c>
      <c r="F12" s="2" t="s">
        <v>230</v>
      </c>
      <c r="G12" s="2" t="s">
        <v>212</v>
      </c>
      <c r="H12" s="2" t="s">
        <v>139</v>
      </c>
      <c r="I12" s="2" t="s">
        <v>144</v>
      </c>
      <c r="K12" s="2" t="s">
        <v>228</v>
      </c>
      <c r="L12" s="2" t="s">
        <v>222</v>
      </c>
      <c r="M12" s="2" t="s">
        <v>209</v>
      </c>
      <c r="N12" s="2" t="s">
        <v>229</v>
      </c>
      <c r="O12" s="2" t="s">
        <v>230</v>
      </c>
      <c r="P12" s="2" t="s">
        <v>212</v>
      </c>
      <c r="Q12" s="2" t="s">
        <v>139</v>
      </c>
      <c r="R12" s="2" t="s">
        <v>144</v>
      </c>
      <c r="T12" s="2" t="s">
        <v>228</v>
      </c>
      <c r="U12" s="2" t="s">
        <v>222</v>
      </c>
      <c r="V12" s="2" t="s">
        <v>209</v>
      </c>
      <c r="W12" s="2" t="s">
        <v>229</v>
      </c>
      <c r="X12" s="2" t="s">
        <v>230</v>
      </c>
      <c r="Y12" s="2" t="s">
        <v>212</v>
      </c>
      <c r="Z12" s="2" t="s">
        <v>139</v>
      </c>
      <c r="AA12" s="2" t="s">
        <v>144</v>
      </c>
      <c r="AC12" s="2" t="s">
        <v>228</v>
      </c>
      <c r="AD12" s="2" t="s">
        <v>222</v>
      </c>
      <c r="AE12" s="2" t="s">
        <v>209</v>
      </c>
      <c r="AF12" s="2" t="s">
        <v>229</v>
      </c>
      <c r="AG12" s="2" t="s">
        <v>230</v>
      </c>
      <c r="AH12" s="2" t="s">
        <v>212</v>
      </c>
      <c r="AI12" s="2" t="s">
        <v>139</v>
      </c>
      <c r="AJ12" s="2" t="s">
        <v>139</v>
      </c>
      <c r="AK12" s="2" t="s">
        <v>144</v>
      </c>
    </row>
    <row r="13" spans="1:41" x14ac:dyDescent="0.25">
      <c r="B13" s="2" t="s">
        <v>228</v>
      </c>
      <c r="C13" s="2" t="s">
        <v>225</v>
      </c>
      <c r="D13" s="2" t="s">
        <v>209</v>
      </c>
      <c r="E13" s="2" t="s">
        <v>231</v>
      </c>
      <c r="F13" s="2" t="s">
        <v>232</v>
      </c>
      <c r="G13" s="2" t="s">
        <v>212</v>
      </c>
      <c r="H13" s="2" t="s">
        <v>139</v>
      </c>
      <c r="I13" s="2" t="s">
        <v>144</v>
      </c>
      <c r="K13" s="2" t="s">
        <v>228</v>
      </c>
      <c r="L13" s="2" t="s">
        <v>225</v>
      </c>
      <c r="M13" s="2" t="s">
        <v>209</v>
      </c>
      <c r="N13" s="2" t="s">
        <v>231</v>
      </c>
      <c r="O13" s="2" t="s">
        <v>232</v>
      </c>
      <c r="P13" s="2" t="s">
        <v>212</v>
      </c>
      <c r="Q13" s="2" t="s">
        <v>139</v>
      </c>
      <c r="R13" s="2" t="s">
        <v>144</v>
      </c>
      <c r="T13" s="2" t="s">
        <v>228</v>
      </c>
      <c r="U13" s="2" t="s">
        <v>225</v>
      </c>
      <c r="V13" s="2" t="s">
        <v>209</v>
      </c>
      <c r="W13" s="2" t="s">
        <v>231</v>
      </c>
      <c r="X13" s="2" t="s">
        <v>232</v>
      </c>
      <c r="Y13" s="2" t="s">
        <v>212</v>
      </c>
      <c r="Z13" s="2" t="s">
        <v>139</v>
      </c>
      <c r="AA13" s="2" t="s">
        <v>144</v>
      </c>
      <c r="AC13" s="2" t="s">
        <v>228</v>
      </c>
      <c r="AD13" s="2" t="s">
        <v>225</v>
      </c>
      <c r="AE13" s="2" t="s">
        <v>209</v>
      </c>
      <c r="AF13" s="2" t="s">
        <v>231</v>
      </c>
      <c r="AG13" s="2" t="s">
        <v>232</v>
      </c>
      <c r="AH13" s="2" t="s">
        <v>212</v>
      </c>
      <c r="AI13" s="2" t="s">
        <v>139</v>
      </c>
      <c r="AJ13" s="2" t="s">
        <v>139</v>
      </c>
      <c r="AK13" s="2" t="s">
        <v>144</v>
      </c>
    </row>
    <row r="14" spans="1:41" x14ac:dyDescent="0.25">
      <c r="B14" s="2" t="s">
        <v>233</v>
      </c>
      <c r="C14" s="2" t="s">
        <v>234</v>
      </c>
      <c r="D14" s="2" t="s">
        <v>209</v>
      </c>
      <c r="E14" s="2" t="s">
        <v>235</v>
      </c>
      <c r="F14" s="2" t="s">
        <v>236</v>
      </c>
      <c r="G14" s="2" t="s">
        <v>212</v>
      </c>
      <c r="H14" s="2" t="s">
        <v>139</v>
      </c>
      <c r="I14" s="2" t="s">
        <v>144</v>
      </c>
      <c r="K14" s="2" t="s">
        <v>233</v>
      </c>
      <c r="L14" s="2" t="s">
        <v>234</v>
      </c>
      <c r="M14" s="2" t="s">
        <v>209</v>
      </c>
      <c r="N14" s="2" t="s">
        <v>235</v>
      </c>
      <c r="O14" s="2" t="s">
        <v>236</v>
      </c>
      <c r="P14" s="2" t="s">
        <v>212</v>
      </c>
      <c r="Q14" s="2" t="s">
        <v>139</v>
      </c>
      <c r="R14" s="2" t="s">
        <v>144</v>
      </c>
      <c r="T14" s="2" t="s">
        <v>233</v>
      </c>
      <c r="U14" s="2" t="s">
        <v>234</v>
      </c>
      <c r="V14" s="2" t="s">
        <v>209</v>
      </c>
      <c r="W14" s="2" t="s">
        <v>235</v>
      </c>
      <c r="X14" s="2" t="s">
        <v>236</v>
      </c>
      <c r="Y14" s="2" t="s">
        <v>212</v>
      </c>
      <c r="Z14" s="2" t="s">
        <v>139</v>
      </c>
      <c r="AA14" s="2" t="s">
        <v>144</v>
      </c>
      <c r="AC14" s="2" t="s">
        <v>233</v>
      </c>
      <c r="AD14" s="2" t="s">
        <v>234</v>
      </c>
      <c r="AE14" s="2" t="s">
        <v>209</v>
      </c>
      <c r="AF14" s="2" t="s">
        <v>235</v>
      </c>
      <c r="AG14" s="2" t="s">
        <v>236</v>
      </c>
      <c r="AH14" s="2" t="s">
        <v>212</v>
      </c>
      <c r="AI14" s="2" t="s">
        <v>139</v>
      </c>
      <c r="AJ14" s="2" t="s">
        <v>139</v>
      </c>
      <c r="AK14" s="2" t="s">
        <v>144</v>
      </c>
    </row>
    <row r="15" spans="1:41" x14ac:dyDescent="0.25">
      <c r="B15" s="2" t="s">
        <v>237</v>
      </c>
      <c r="C15" s="2" t="s">
        <v>238</v>
      </c>
      <c r="D15" s="2" t="s">
        <v>209</v>
      </c>
      <c r="E15" s="2" t="s">
        <v>239</v>
      </c>
      <c r="F15" s="2" t="s">
        <v>240</v>
      </c>
      <c r="G15" s="2" t="s">
        <v>212</v>
      </c>
      <c r="H15" s="2" t="s">
        <v>139</v>
      </c>
      <c r="I15" s="2" t="s">
        <v>144</v>
      </c>
      <c r="K15" s="2" t="s">
        <v>237</v>
      </c>
      <c r="L15" s="2" t="s">
        <v>238</v>
      </c>
      <c r="M15" s="2" t="s">
        <v>209</v>
      </c>
      <c r="N15" s="2" t="s">
        <v>239</v>
      </c>
      <c r="O15" s="2" t="s">
        <v>240</v>
      </c>
      <c r="P15" s="2" t="s">
        <v>212</v>
      </c>
      <c r="Q15" s="2" t="s">
        <v>139</v>
      </c>
      <c r="R15" s="2" t="s">
        <v>144</v>
      </c>
      <c r="T15" s="2" t="s">
        <v>237</v>
      </c>
      <c r="U15" s="2" t="s">
        <v>238</v>
      </c>
      <c r="V15" s="2" t="s">
        <v>209</v>
      </c>
      <c r="W15" s="2" t="s">
        <v>239</v>
      </c>
      <c r="X15" s="2" t="s">
        <v>240</v>
      </c>
      <c r="Y15" s="2" t="s">
        <v>212</v>
      </c>
      <c r="Z15" s="2" t="s">
        <v>139</v>
      </c>
      <c r="AA15" s="2" t="s">
        <v>144</v>
      </c>
      <c r="AC15" s="2" t="s">
        <v>237</v>
      </c>
      <c r="AD15" s="2" t="s">
        <v>238</v>
      </c>
      <c r="AE15" s="2" t="s">
        <v>209</v>
      </c>
      <c r="AF15" s="2" t="s">
        <v>239</v>
      </c>
      <c r="AG15" s="2" t="s">
        <v>240</v>
      </c>
      <c r="AH15" s="2" t="s">
        <v>212</v>
      </c>
      <c r="AI15" s="2" t="s">
        <v>139</v>
      </c>
      <c r="AJ15" s="2" t="s">
        <v>139</v>
      </c>
      <c r="AK15" s="2" t="s">
        <v>144</v>
      </c>
    </row>
    <row r="16" spans="1:41" s="6" customFormat="1" x14ac:dyDescent="0.25">
      <c r="A16" s="6" t="s">
        <v>613</v>
      </c>
      <c r="B16" s="9" t="s">
        <v>83</v>
      </c>
      <c r="J16" s="40"/>
      <c r="K16" s="9" t="s">
        <v>241</v>
      </c>
      <c r="S16" s="40"/>
      <c r="T16" s="9" t="s">
        <v>241</v>
      </c>
      <c r="AB16" s="40"/>
      <c r="AC16" s="9" t="s">
        <v>241</v>
      </c>
    </row>
    <row r="17" spans="1:41" s="1" customFormat="1" x14ac:dyDescent="0.25">
      <c r="A17" s="5" t="s">
        <v>190</v>
      </c>
      <c r="B17" s="2" t="s">
        <v>207</v>
      </c>
      <c r="C17" s="2" t="s">
        <v>208</v>
      </c>
      <c r="D17" s="2" t="s">
        <v>209</v>
      </c>
      <c r="E17" s="2" t="s">
        <v>210</v>
      </c>
      <c r="F17" s="2" t="s">
        <v>211</v>
      </c>
      <c r="G17" s="2" t="s">
        <v>212</v>
      </c>
      <c r="H17" s="2" t="s">
        <v>190</v>
      </c>
      <c r="I17" s="27" t="s">
        <v>192</v>
      </c>
      <c r="J17" s="40"/>
      <c r="K17" s="27" t="s">
        <v>207</v>
      </c>
      <c r="L17" s="27" t="s">
        <v>208</v>
      </c>
      <c r="M17" s="27" t="s">
        <v>209</v>
      </c>
      <c r="N17" s="27" t="s">
        <v>210</v>
      </c>
      <c r="O17" s="27" t="s">
        <v>211</v>
      </c>
      <c r="P17" s="27" t="s">
        <v>212</v>
      </c>
      <c r="Q17" s="27" t="s">
        <v>190</v>
      </c>
      <c r="R17" s="27" t="s">
        <v>192</v>
      </c>
      <c r="S17" s="40"/>
      <c r="T17" s="27" t="s">
        <v>207</v>
      </c>
      <c r="U17" s="27" t="s">
        <v>208</v>
      </c>
      <c r="V17" s="27" t="s">
        <v>209</v>
      </c>
      <c r="W17" s="27" t="s">
        <v>210</v>
      </c>
      <c r="X17" s="27" t="s">
        <v>211</v>
      </c>
      <c r="Y17" s="27" t="s">
        <v>212</v>
      </c>
      <c r="Z17" s="27" t="s">
        <v>190</v>
      </c>
      <c r="AA17" s="27" t="s">
        <v>192</v>
      </c>
      <c r="AB17" s="40"/>
      <c r="AC17" s="2" t="s">
        <v>207</v>
      </c>
      <c r="AD17" s="2" t="s">
        <v>208</v>
      </c>
      <c r="AE17" s="2" t="s">
        <v>209</v>
      </c>
      <c r="AF17" s="2" t="s">
        <v>210</v>
      </c>
      <c r="AG17" s="2" t="s">
        <v>211</v>
      </c>
      <c r="AH17" s="2" t="s">
        <v>212</v>
      </c>
      <c r="AI17" s="2" t="s">
        <v>139</v>
      </c>
      <c r="AJ17" s="2" t="s">
        <v>139</v>
      </c>
      <c r="AK17" s="2" t="s">
        <v>144</v>
      </c>
      <c r="AL17" s="2"/>
      <c r="AM17" s="2"/>
      <c r="AN17" s="2"/>
      <c r="AO17" s="2"/>
    </row>
    <row r="18" spans="1:41" x14ac:dyDescent="0.25">
      <c r="B18" s="2" t="s">
        <v>207</v>
      </c>
      <c r="C18" s="2" t="s">
        <v>213</v>
      </c>
      <c r="D18" s="2" t="s">
        <v>209</v>
      </c>
      <c r="E18" s="2" t="s">
        <v>214</v>
      </c>
      <c r="F18" s="2" t="s">
        <v>215</v>
      </c>
      <c r="G18" s="2" t="s">
        <v>212</v>
      </c>
      <c r="H18" s="2" t="s">
        <v>190</v>
      </c>
      <c r="I18" s="27" t="s">
        <v>192</v>
      </c>
      <c r="K18" s="27" t="s">
        <v>207</v>
      </c>
      <c r="L18" s="27" t="s">
        <v>213</v>
      </c>
      <c r="M18" s="27" t="s">
        <v>209</v>
      </c>
      <c r="N18" s="27" t="s">
        <v>214</v>
      </c>
      <c r="O18" s="27" t="s">
        <v>215</v>
      </c>
      <c r="P18" s="27" t="s">
        <v>212</v>
      </c>
      <c r="Q18" s="27" t="s">
        <v>190</v>
      </c>
      <c r="R18" s="27" t="s">
        <v>192</v>
      </c>
      <c r="T18" s="27" t="s">
        <v>207</v>
      </c>
      <c r="U18" s="27" t="s">
        <v>213</v>
      </c>
      <c r="V18" s="27" t="s">
        <v>209</v>
      </c>
      <c r="W18" s="27" t="s">
        <v>214</v>
      </c>
      <c r="X18" s="27" t="s">
        <v>215</v>
      </c>
      <c r="Y18" s="27" t="s">
        <v>212</v>
      </c>
      <c r="Z18" s="27" t="s">
        <v>190</v>
      </c>
      <c r="AA18" s="27" t="s">
        <v>192</v>
      </c>
      <c r="AC18" s="2" t="s">
        <v>207</v>
      </c>
      <c r="AD18" s="2" t="s">
        <v>213</v>
      </c>
      <c r="AE18" s="2" t="s">
        <v>209</v>
      </c>
      <c r="AF18" s="2" t="s">
        <v>214</v>
      </c>
      <c r="AG18" s="2" t="s">
        <v>215</v>
      </c>
      <c r="AH18" s="2" t="s">
        <v>212</v>
      </c>
      <c r="AI18" s="2" t="s">
        <v>139</v>
      </c>
      <c r="AJ18" s="2" t="s">
        <v>139</v>
      </c>
      <c r="AK18" s="2" t="s">
        <v>144</v>
      </c>
    </row>
    <row r="19" spans="1:41" x14ac:dyDescent="0.25">
      <c r="B19" s="2" t="s">
        <v>216</v>
      </c>
      <c r="C19" s="2" t="s">
        <v>213</v>
      </c>
      <c r="D19" s="2" t="s">
        <v>209</v>
      </c>
      <c r="E19" s="2" t="s">
        <v>217</v>
      </c>
      <c r="F19" s="2" t="s">
        <v>218</v>
      </c>
      <c r="G19" s="2" t="s">
        <v>212</v>
      </c>
      <c r="H19" s="2" t="s">
        <v>190</v>
      </c>
      <c r="I19" s="27" t="s">
        <v>192</v>
      </c>
      <c r="K19" s="27" t="s">
        <v>216</v>
      </c>
      <c r="L19" s="27" t="s">
        <v>213</v>
      </c>
      <c r="M19" s="27" t="s">
        <v>209</v>
      </c>
      <c r="N19" s="27" t="s">
        <v>217</v>
      </c>
      <c r="O19" s="27" t="s">
        <v>218</v>
      </c>
      <c r="P19" s="27" t="s">
        <v>212</v>
      </c>
      <c r="Q19" s="27" t="s">
        <v>190</v>
      </c>
      <c r="R19" s="27" t="s">
        <v>192</v>
      </c>
      <c r="T19" s="27" t="s">
        <v>216</v>
      </c>
      <c r="U19" s="27" t="s">
        <v>213</v>
      </c>
      <c r="V19" s="27" t="s">
        <v>209</v>
      </c>
      <c r="W19" s="27" t="s">
        <v>217</v>
      </c>
      <c r="X19" s="27" t="s">
        <v>218</v>
      </c>
      <c r="Y19" s="27" t="s">
        <v>212</v>
      </c>
      <c r="Z19" s="27" t="s">
        <v>190</v>
      </c>
      <c r="AA19" s="27" t="s">
        <v>192</v>
      </c>
      <c r="AC19" s="2" t="s">
        <v>216</v>
      </c>
      <c r="AD19" s="2" t="s">
        <v>213</v>
      </c>
      <c r="AE19" s="2" t="s">
        <v>209</v>
      </c>
      <c r="AF19" s="2" t="s">
        <v>217</v>
      </c>
      <c r="AG19" s="2" t="s">
        <v>218</v>
      </c>
      <c r="AH19" s="2" t="s">
        <v>212</v>
      </c>
      <c r="AI19" s="2" t="s">
        <v>139</v>
      </c>
      <c r="AJ19" s="2" t="s">
        <v>139</v>
      </c>
      <c r="AK19" s="2" t="s">
        <v>144</v>
      </c>
    </row>
    <row r="20" spans="1:41" x14ac:dyDescent="0.25">
      <c r="B20" s="2" t="s">
        <v>219</v>
      </c>
      <c r="C20" s="2" t="s">
        <v>213</v>
      </c>
      <c r="D20" s="2" t="s">
        <v>209</v>
      </c>
      <c r="E20" s="2" t="s">
        <v>214</v>
      </c>
      <c r="F20" s="2" t="s">
        <v>220</v>
      </c>
      <c r="G20" s="2" t="s">
        <v>212</v>
      </c>
      <c r="H20" s="2" t="s">
        <v>190</v>
      </c>
      <c r="I20" s="27" t="s">
        <v>192</v>
      </c>
      <c r="K20" s="27" t="s">
        <v>219</v>
      </c>
      <c r="L20" s="27" t="s">
        <v>213</v>
      </c>
      <c r="M20" s="27" t="s">
        <v>209</v>
      </c>
      <c r="N20" s="27" t="s">
        <v>214</v>
      </c>
      <c r="O20" s="27" t="s">
        <v>220</v>
      </c>
      <c r="P20" s="27" t="s">
        <v>212</v>
      </c>
      <c r="Q20" s="27" t="s">
        <v>190</v>
      </c>
      <c r="R20" s="27" t="s">
        <v>192</v>
      </c>
      <c r="T20" s="27" t="s">
        <v>219</v>
      </c>
      <c r="U20" s="27" t="s">
        <v>213</v>
      </c>
      <c r="V20" s="27" t="s">
        <v>209</v>
      </c>
      <c r="W20" s="27" t="s">
        <v>214</v>
      </c>
      <c r="X20" s="27" t="s">
        <v>220</v>
      </c>
      <c r="Y20" s="27" t="s">
        <v>212</v>
      </c>
      <c r="Z20" s="27" t="s">
        <v>190</v>
      </c>
      <c r="AA20" s="27" t="s">
        <v>192</v>
      </c>
      <c r="AC20" s="2" t="s">
        <v>219</v>
      </c>
      <c r="AD20" s="2" t="s">
        <v>213</v>
      </c>
      <c r="AE20" s="2" t="s">
        <v>209</v>
      </c>
      <c r="AF20" s="2" t="s">
        <v>214</v>
      </c>
      <c r="AG20" s="2" t="s">
        <v>220</v>
      </c>
      <c r="AH20" s="2" t="s">
        <v>212</v>
      </c>
      <c r="AI20" s="2" t="s">
        <v>139</v>
      </c>
      <c r="AJ20" s="2" t="s">
        <v>139</v>
      </c>
      <c r="AK20" s="2" t="s">
        <v>144</v>
      </c>
    </row>
    <row r="21" spans="1:41" x14ac:dyDescent="0.25">
      <c r="B21" s="2" t="s">
        <v>221</v>
      </c>
      <c r="C21" s="2" t="s">
        <v>222</v>
      </c>
      <c r="D21" s="2" t="s">
        <v>209</v>
      </c>
      <c r="E21" s="2" t="s">
        <v>223</v>
      </c>
      <c r="F21" s="2" t="s">
        <v>224</v>
      </c>
      <c r="G21" s="2" t="s">
        <v>212</v>
      </c>
      <c r="H21" s="2" t="s">
        <v>190</v>
      </c>
      <c r="I21" s="27" t="s">
        <v>192</v>
      </c>
      <c r="K21" s="27" t="s">
        <v>221</v>
      </c>
      <c r="L21" s="27" t="s">
        <v>222</v>
      </c>
      <c r="M21" s="27" t="s">
        <v>209</v>
      </c>
      <c r="N21" s="27" t="s">
        <v>223</v>
      </c>
      <c r="O21" s="27" t="s">
        <v>224</v>
      </c>
      <c r="P21" s="27" t="s">
        <v>212</v>
      </c>
      <c r="Q21" s="27" t="s">
        <v>190</v>
      </c>
      <c r="R21" s="27" t="s">
        <v>192</v>
      </c>
      <c r="T21" s="27" t="s">
        <v>221</v>
      </c>
      <c r="U21" s="27" t="s">
        <v>222</v>
      </c>
      <c r="V21" s="27" t="s">
        <v>209</v>
      </c>
      <c r="W21" s="27" t="s">
        <v>223</v>
      </c>
      <c r="X21" s="27" t="s">
        <v>224</v>
      </c>
      <c r="Y21" s="27" t="s">
        <v>212</v>
      </c>
      <c r="Z21" s="27" t="s">
        <v>190</v>
      </c>
      <c r="AA21" s="27" t="s">
        <v>192</v>
      </c>
      <c r="AC21" s="2" t="s">
        <v>221</v>
      </c>
      <c r="AD21" s="2" t="s">
        <v>222</v>
      </c>
      <c r="AE21" s="2" t="s">
        <v>209</v>
      </c>
      <c r="AF21" s="2" t="s">
        <v>223</v>
      </c>
      <c r="AG21" s="2" t="s">
        <v>224</v>
      </c>
      <c r="AH21" s="2" t="s">
        <v>212</v>
      </c>
      <c r="AI21" s="2" t="s">
        <v>139</v>
      </c>
      <c r="AJ21" s="2" t="s">
        <v>139</v>
      </c>
      <c r="AK21" s="2" t="s">
        <v>144</v>
      </c>
    </row>
    <row r="22" spans="1:41" x14ac:dyDescent="0.25">
      <c r="B22" s="2" t="s">
        <v>221</v>
      </c>
      <c r="C22" s="2" t="s">
        <v>225</v>
      </c>
      <c r="D22" s="2" t="s">
        <v>209</v>
      </c>
      <c r="E22" s="2" t="s">
        <v>226</v>
      </c>
      <c r="F22" s="2" t="s">
        <v>227</v>
      </c>
      <c r="G22" s="2" t="s">
        <v>212</v>
      </c>
      <c r="H22" s="2" t="s">
        <v>190</v>
      </c>
      <c r="I22" s="27" t="s">
        <v>192</v>
      </c>
      <c r="K22" s="27" t="s">
        <v>221</v>
      </c>
      <c r="L22" s="27" t="s">
        <v>225</v>
      </c>
      <c r="M22" s="27" t="s">
        <v>209</v>
      </c>
      <c r="N22" s="27" t="s">
        <v>226</v>
      </c>
      <c r="O22" s="27" t="s">
        <v>227</v>
      </c>
      <c r="P22" s="27" t="s">
        <v>212</v>
      </c>
      <c r="Q22" s="27" t="s">
        <v>190</v>
      </c>
      <c r="R22" s="27" t="s">
        <v>192</v>
      </c>
      <c r="T22" s="27" t="s">
        <v>221</v>
      </c>
      <c r="U22" s="27" t="s">
        <v>225</v>
      </c>
      <c r="V22" s="27" t="s">
        <v>209</v>
      </c>
      <c r="W22" s="27" t="s">
        <v>226</v>
      </c>
      <c r="X22" s="27" t="s">
        <v>227</v>
      </c>
      <c r="Y22" s="27" t="s">
        <v>212</v>
      </c>
      <c r="Z22" s="27" t="s">
        <v>190</v>
      </c>
      <c r="AA22" s="27" t="s">
        <v>192</v>
      </c>
      <c r="AC22" s="2" t="s">
        <v>221</v>
      </c>
      <c r="AD22" s="2" t="s">
        <v>225</v>
      </c>
      <c r="AE22" s="2" t="s">
        <v>209</v>
      </c>
      <c r="AF22" s="2" t="s">
        <v>226</v>
      </c>
      <c r="AG22" s="2" t="s">
        <v>227</v>
      </c>
      <c r="AH22" s="2" t="s">
        <v>212</v>
      </c>
      <c r="AI22" s="2" t="s">
        <v>139</v>
      </c>
      <c r="AJ22" s="2" t="s">
        <v>139</v>
      </c>
      <c r="AK22" s="2" t="s">
        <v>144</v>
      </c>
    </row>
    <row r="23" spans="1:41" x14ac:dyDescent="0.25">
      <c r="B23" s="2" t="s">
        <v>228</v>
      </c>
      <c r="C23" s="2" t="s">
        <v>222</v>
      </c>
      <c r="D23" s="2" t="s">
        <v>209</v>
      </c>
      <c r="E23" s="2" t="s">
        <v>229</v>
      </c>
      <c r="F23" s="2" t="s">
        <v>230</v>
      </c>
      <c r="G23" s="2" t="s">
        <v>212</v>
      </c>
      <c r="H23" s="2" t="s">
        <v>190</v>
      </c>
      <c r="I23" s="27" t="s">
        <v>192</v>
      </c>
      <c r="K23" s="27" t="s">
        <v>228</v>
      </c>
      <c r="L23" s="27" t="s">
        <v>222</v>
      </c>
      <c r="M23" s="27" t="s">
        <v>209</v>
      </c>
      <c r="N23" s="27" t="s">
        <v>229</v>
      </c>
      <c r="O23" s="27" t="s">
        <v>230</v>
      </c>
      <c r="P23" s="27" t="s">
        <v>212</v>
      </c>
      <c r="Q23" s="27" t="s">
        <v>190</v>
      </c>
      <c r="R23" s="27" t="s">
        <v>192</v>
      </c>
      <c r="T23" s="27" t="s">
        <v>228</v>
      </c>
      <c r="U23" s="27" t="s">
        <v>222</v>
      </c>
      <c r="V23" s="27" t="s">
        <v>209</v>
      </c>
      <c r="W23" s="27" t="s">
        <v>229</v>
      </c>
      <c r="X23" s="27" t="s">
        <v>230</v>
      </c>
      <c r="Y23" s="27" t="s">
        <v>212</v>
      </c>
      <c r="Z23" s="27" t="s">
        <v>190</v>
      </c>
      <c r="AA23" s="27" t="s">
        <v>192</v>
      </c>
      <c r="AC23" s="2" t="s">
        <v>228</v>
      </c>
      <c r="AD23" s="2" t="s">
        <v>222</v>
      </c>
      <c r="AE23" s="2" t="s">
        <v>209</v>
      </c>
      <c r="AF23" s="2" t="s">
        <v>229</v>
      </c>
      <c r="AG23" s="2" t="s">
        <v>230</v>
      </c>
      <c r="AH23" s="2" t="s">
        <v>212</v>
      </c>
      <c r="AI23" s="2" t="s">
        <v>139</v>
      </c>
      <c r="AJ23" s="2" t="s">
        <v>139</v>
      </c>
      <c r="AK23" s="2" t="s">
        <v>144</v>
      </c>
    </row>
    <row r="24" spans="1:41" x14ac:dyDescent="0.25">
      <c r="B24" s="2" t="s">
        <v>228</v>
      </c>
      <c r="C24" s="2" t="s">
        <v>225</v>
      </c>
      <c r="D24" s="2" t="s">
        <v>209</v>
      </c>
      <c r="E24" s="2" t="s">
        <v>231</v>
      </c>
      <c r="F24" s="7" t="s">
        <v>242</v>
      </c>
      <c r="G24" s="2" t="s">
        <v>212</v>
      </c>
      <c r="H24" s="2" t="s">
        <v>190</v>
      </c>
      <c r="I24" s="27" t="s">
        <v>192</v>
      </c>
      <c r="K24" s="27" t="s">
        <v>228</v>
      </c>
      <c r="L24" s="27" t="s">
        <v>225</v>
      </c>
      <c r="M24" s="27" t="s">
        <v>209</v>
      </c>
      <c r="N24" s="27" t="s">
        <v>231</v>
      </c>
      <c r="O24" s="27" t="s">
        <v>242</v>
      </c>
      <c r="P24" s="27" t="s">
        <v>212</v>
      </c>
      <c r="Q24" s="27" t="s">
        <v>190</v>
      </c>
      <c r="R24" s="27" t="s">
        <v>192</v>
      </c>
      <c r="T24" s="27" t="s">
        <v>228</v>
      </c>
      <c r="U24" s="27" t="s">
        <v>225</v>
      </c>
      <c r="V24" s="27" t="s">
        <v>209</v>
      </c>
      <c r="W24" s="27" t="s">
        <v>231</v>
      </c>
      <c r="X24" s="27" t="s">
        <v>242</v>
      </c>
      <c r="Y24" s="27" t="s">
        <v>212</v>
      </c>
      <c r="Z24" s="27" t="s">
        <v>190</v>
      </c>
      <c r="AA24" s="27" t="s">
        <v>192</v>
      </c>
      <c r="AC24" s="2" t="s">
        <v>228</v>
      </c>
      <c r="AD24" s="2" t="s">
        <v>225</v>
      </c>
      <c r="AE24" s="2" t="s">
        <v>209</v>
      </c>
      <c r="AF24" s="2" t="s">
        <v>231</v>
      </c>
      <c r="AG24" s="2" t="s">
        <v>232</v>
      </c>
      <c r="AH24" s="2" t="s">
        <v>212</v>
      </c>
      <c r="AI24" s="2" t="s">
        <v>139</v>
      </c>
      <c r="AJ24" s="2" t="s">
        <v>139</v>
      </c>
      <c r="AK24" s="2" t="s">
        <v>144</v>
      </c>
    </row>
    <row r="25" spans="1:41" x14ac:dyDescent="0.25">
      <c r="B25" s="2" t="s">
        <v>233</v>
      </c>
      <c r="C25" s="2" t="s">
        <v>234</v>
      </c>
      <c r="D25" s="2" t="s">
        <v>209</v>
      </c>
      <c r="E25" s="7" t="s">
        <v>243</v>
      </c>
      <c r="F25" s="2" t="s">
        <v>236</v>
      </c>
      <c r="G25" s="2" t="s">
        <v>212</v>
      </c>
      <c r="H25" s="2" t="s">
        <v>190</v>
      </c>
      <c r="I25" s="27" t="s">
        <v>192</v>
      </c>
      <c r="K25" s="27" t="s">
        <v>233</v>
      </c>
      <c r="L25" s="27" t="s">
        <v>234</v>
      </c>
      <c r="M25" s="27" t="s">
        <v>209</v>
      </c>
      <c r="N25" s="27" t="s">
        <v>243</v>
      </c>
      <c r="O25" s="27" t="s">
        <v>236</v>
      </c>
      <c r="P25" s="27" t="s">
        <v>212</v>
      </c>
      <c r="Q25" s="27" t="s">
        <v>190</v>
      </c>
      <c r="R25" s="27" t="s">
        <v>192</v>
      </c>
      <c r="T25" s="27" t="s">
        <v>233</v>
      </c>
      <c r="U25" s="27" t="s">
        <v>234</v>
      </c>
      <c r="V25" s="27" t="s">
        <v>209</v>
      </c>
      <c r="W25" s="27" t="s">
        <v>243</v>
      </c>
      <c r="X25" s="27" t="s">
        <v>236</v>
      </c>
      <c r="Y25" s="27" t="s">
        <v>212</v>
      </c>
      <c r="Z25" s="27" t="s">
        <v>190</v>
      </c>
      <c r="AA25" s="27" t="s">
        <v>192</v>
      </c>
      <c r="AC25" s="2" t="s">
        <v>233</v>
      </c>
      <c r="AD25" s="2" t="s">
        <v>234</v>
      </c>
      <c r="AE25" s="2" t="s">
        <v>209</v>
      </c>
      <c r="AF25" s="2" t="s">
        <v>235</v>
      </c>
      <c r="AG25" s="2" t="s">
        <v>236</v>
      </c>
      <c r="AH25" s="2" t="s">
        <v>212</v>
      </c>
      <c r="AI25" s="2" t="s">
        <v>139</v>
      </c>
      <c r="AJ25" s="2" t="s">
        <v>139</v>
      </c>
      <c r="AK25" s="2" t="s">
        <v>144</v>
      </c>
    </row>
    <row r="26" spans="1:41" x14ac:dyDescent="0.25">
      <c r="T26" s="27"/>
      <c r="U26" s="27"/>
      <c r="V26" s="27"/>
      <c r="W26" s="27"/>
      <c r="X26" s="27"/>
      <c r="Y26" s="27"/>
      <c r="Z26" s="27"/>
      <c r="AC26" s="2" t="s">
        <v>237</v>
      </c>
      <c r="AD26" s="2" t="s">
        <v>238</v>
      </c>
      <c r="AE26" s="2" t="s">
        <v>209</v>
      </c>
      <c r="AF26" s="2" t="s">
        <v>239</v>
      </c>
      <c r="AG26" s="2" t="s">
        <v>240</v>
      </c>
      <c r="AH26" s="2" t="s">
        <v>212</v>
      </c>
      <c r="AI26" s="2" t="s">
        <v>139</v>
      </c>
      <c r="AJ26" s="2" t="s">
        <v>139</v>
      </c>
      <c r="AK26" s="2" t="s">
        <v>144</v>
      </c>
    </row>
    <row r="27" spans="1:41" x14ac:dyDescent="0.25">
      <c r="AC27" s="27" t="s">
        <v>207</v>
      </c>
      <c r="AD27" s="27" t="s">
        <v>208</v>
      </c>
      <c r="AE27" s="27" t="s">
        <v>209</v>
      </c>
      <c r="AF27" s="27" t="s">
        <v>210</v>
      </c>
      <c r="AG27" s="27" t="s">
        <v>211</v>
      </c>
      <c r="AH27" s="27" t="s">
        <v>212</v>
      </c>
      <c r="AI27" s="27" t="s">
        <v>190</v>
      </c>
      <c r="AJ27" s="27" t="s">
        <v>190</v>
      </c>
      <c r="AK27" s="27" t="s">
        <v>192</v>
      </c>
    </row>
    <row r="28" spans="1:41" x14ac:dyDescent="0.25">
      <c r="AC28" s="27" t="s">
        <v>207</v>
      </c>
      <c r="AD28" s="27" t="s">
        <v>213</v>
      </c>
      <c r="AE28" s="27" t="s">
        <v>209</v>
      </c>
      <c r="AF28" s="27" t="s">
        <v>214</v>
      </c>
      <c r="AG28" s="27" t="s">
        <v>215</v>
      </c>
      <c r="AH28" s="27" t="s">
        <v>212</v>
      </c>
      <c r="AI28" s="27" t="s">
        <v>190</v>
      </c>
      <c r="AJ28" s="27" t="s">
        <v>190</v>
      </c>
      <c r="AK28" s="27" t="s">
        <v>192</v>
      </c>
    </row>
    <row r="29" spans="1:41" x14ac:dyDescent="0.25">
      <c r="AC29" s="27" t="s">
        <v>216</v>
      </c>
      <c r="AD29" s="27" t="s">
        <v>213</v>
      </c>
      <c r="AE29" s="27" t="s">
        <v>209</v>
      </c>
      <c r="AF29" s="27" t="s">
        <v>217</v>
      </c>
      <c r="AG29" s="27" t="s">
        <v>218</v>
      </c>
      <c r="AH29" s="27" t="s">
        <v>212</v>
      </c>
      <c r="AI29" s="27" t="s">
        <v>190</v>
      </c>
      <c r="AJ29" s="27" t="s">
        <v>190</v>
      </c>
      <c r="AK29" s="27" t="s">
        <v>192</v>
      </c>
    </row>
    <row r="30" spans="1:41" x14ac:dyDescent="0.25">
      <c r="AC30" s="27" t="s">
        <v>219</v>
      </c>
      <c r="AD30" s="27" t="s">
        <v>213</v>
      </c>
      <c r="AE30" s="27" t="s">
        <v>209</v>
      </c>
      <c r="AF30" s="27" t="s">
        <v>214</v>
      </c>
      <c r="AG30" s="27" t="s">
        <v>220</v>
      </c>
      <c r="AH30" s="27" t="s">
        <v>212</v>
      </c>
      <c r="AI30" s="27" t="s">
        <v>190</v>
      </c>
      <c r="AJ30" s="27" t="s">
        <v>190</v>
      </c>
      <c r="AK30" s="27" t="s">
        <v>192</v>
      </c>
    </row>
    <row r="31" spans="1:41" x14ac:dyDescent="0.25">
      <c r="AC31" s="27" t="s">
        <v>221</v>
      </c>
      <c r="AD31" s="27" t="s">
        <v>222</v>
      </c>
      <c r="AE31" s="27" t="s">
        <v>209</v>
      </c>
      <c r="AF31" s="27" t="s">
        <v>223</v>
      </c>
      <c r="AG31" s="27" t="s">
        <v>224</v>
      </c>
      <c r="AH31" s="27" t="s">
        <v>212</v>
      </c>
      <c r="AI31" s="27" t="s">
        <v>190</v>
      </c>
      <c r="AJ31" s="27" t="s">
        <v>190</v>
      </c>
      <c r="AK31" s="27" t="s">
        <v>192</v>
      </c>
    </row>
    <row r="32" spans="1:41" x14ac:dyDescent="0.25">
      <c r="AC32" s="27" t="s">
        <v>221</v>
      </c>
      <c r="AD32" s="27" t="s">
        <v>225</v>
      </c>
      <c r="AE32" s="27" t="s">
        <v>209</v>
      </c>
      <c r="AF32" s="27" t="s">
        <v>226</v>
      </c>
      <c r="AG32" s="27" t="s">
        <v>227</v>
      </c>
      <c r="AH32" s="27" t="s">
        <v>212</v>
      </c>
      <c r="AI32" s="27" t="s">
        <v>190</v>
      </c>
      <c r="AJ32" s="27" t="s">
        <v>190</v>
      </c>
      <c r="AK32" s="27" t="s">
        <v>192</v>
      </c>
    </row>
    <row r="33" spans="29:37" x14ac:dyDescent="0.25">
      <c r="AC33" s="27" t="s">
        <v>228</v>
      </c>
      <c r="AD33" s="27" t="s">
        <v>222</v>
      </c>
      <c r="AE33" s="27" t="s">
        <v>209</v>
      </c>
      <c r="AF33" s="27" t="s">
        <v>229</v>
      </c>
      <c r="AG33" s="27" t="s">
        <v>230</v>
      </c>
      <c r="AH33" s="27" t="s">
        <v>212</v>
      </c>
      <c r="AI33" s="27" t="s">
        <v>190</v>
      </c>
      <c r="AJ33" s="27" t="s">
        <v>190</v>
      </c>
      <c r="AK33" s="27" t="s">
        <v>192</v>
      </c>
    </row>
    <row r="34" spans="29:37" x14ac:dyDescent="0.25">
      <c r="AC34" s="27" t="s">
        <v>228</v>
      </c>
      <c r="AD34" s="27" t="s">
        <v>225</v>
      </c>
      <c r="AE34" s="27" t="s">
        <v>209</v>
      </c>
      <c r="AF34" s="27" t="s">
        <v>231</v>
      </c>
      <c r="AG34" s="27" t="s">
        <v>242</v>
      </c>
      <c r="AH34" s="27" t="s">
        <v>212</v>
      </c>
      <c r="AI34" s="27" t="s">
        <v>190</v>
      </c>
      <c r="AJ34" s="27" t="s">
        <v>190</v>
      </c>
      <c r="AK34" s="27" t="s">
        <v>192</v>
      </c>
    </row>
    <row r="35" spans="29:37" x14ac:dyDescent="0.25">
      <c r="AC35" s="27" t="s">
        <v>233</v>
      </c>
      <c r="AD35" s="27" t="s">
        <v>234</v>
      </c>
      <c r="AE35" s="27" t="s">
        <v>209</v>
      </c>
      <c r="AF35" s="27" t="s">
        <v>243</v>
      </c>
      <c r="AG35" s="27" t="s">
        <v>236</v>
      </c>
      <c r="AH35" s="27" t="s">
        <v>212</v>
      </c>
      <c r="AI35" s="27" t="s">
        <v>190</v>
      </c>
      <c r="AJ35" s="27" t="s">
        <v>190</v>
      </c>
      <c r="AK35" s="27" t="s">
        <v>192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5a383d0-bb40-4e27-b829-7d5d78e7ab1b" xsi:nil="true"/>
    <lcf76f155ced4ddcb4097134ff3c332f xmlns="f0adec90-f051-4606-85ec-c7791c50213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85D91E62A9BA4396E6F91F8A00DBAF" ma:contentTypeVersion="11" ma:contentTypeDescription="Create a new document." ma:contentTypeScope="" ma:versionID="6b8cb2be6f4679e5bcf5e10957838c54">
  <xsd:schema xmlns:xsd="http://www.w3.org/2001/XMLSchema" xmlns:xs="http://www.w3.org/2001/XMLSchema" xmlns:p="http://schemas.microsoft.com/office/2006/metadata/properties" xmlns:ns2="f0adec90-f051-4606-85ec-c7791c502130" xmlns:ns3="a5a383d0-bb40-4e27-b829-7d5d78e7ab1b" targetNamespace="http://schemas.microsoft.com/office/2006/metadata/properties" ma:root="true" ma:fieldsID="325c0372f20c05930c9b3e01216aa783" ns2:_="" ns3:_="">
    <xsd:import namespace="f0adec90-f051-4606-85ec-c7791c502130"/>
    <xsd:import namespace="a5a383d0-bb40-4e27-b829-7d5d78e7ab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adec90-f051-4606-85ec-c7791c5021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58a25b2-dff6-4047-91a5-67a55b11925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a383d0-bb40-4e27-b829-7d5d78e7ab1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4d75b5-6a18-4311-b336-ef2b70056427}" ma:internalName="TaxCatchAll" ma:showField="CatchAllData" ma:web="a5a383d0-bb40-4e27-b829-7d5d78e7ab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BCCBB5-3A39-452A-96D4-EDB1485C2F86}">
  <ds:schemaRefs>
    <ds:schemaRef ds:uri="http://schemas.microsoft.com/office/2006/metadata/properties"/>
    <ds:schemaRef ds:uri="http://www.w3.org/XML/1998/namespace"/>
    <ds:schemaRef ds:uri="http://purl.org/dc/dcmitype/"/>
    <ds:schemaRef ds:uri="f0adec90-f051-4606-85ec-c7791c502130"/>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a5a383d0-bb40-4e27-b829-7d5d78e7ab1b"/>
    <ds:schemaRef ds:uri="http://purl.org/dc/elements/1.1/"/>
  </ds:schemaRefs>
</ds:datastoreItem>
</file>

<file path=customXml/itemProps2.xml><?xml version="1.0" encoding="utf-8"?>
<ds:datastoreItem xmlns:ds="http://schemas.openxmlformats.org/officeDocument/2006/customXml" ds:itemID="{DB509DA6-7419-4BEC-8641-6C3B8AC96A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adec90-f051-4606-85ec-c7791c502130"/>
    <ds:schemaRef ds:uri="a5a383d0-bb40-4e27-b829-7d5d78e7ab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7C0352-E2DE-409B-A90A-F75AB4A19D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Development Checklist</vt:lpstr>
      <vt:lpstr>Retention &amp; Partitioning</vt:lpstr>
      <vt:lpstr>Summary</vt:lpstr>
      <vt:lpstr>Model 1A</vt:lpstr>
      <vt:lpstr>Model 1</vt:lpstr>
      <vt:lpstr>Model 2</vt:lpstr>
      <vt:lpstr>Model 3</vt:lpstr>
      <vt:lpstr>Model 4</vt:lpstr>
      <vt:lpstr>Model 5</vt:lpstr>
      <vt:lpstr>Model 6</vt:lpstr>
      <vt:lpstr>Model 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Tan Meng Hui</dc:creator>
  <cp:keywords/>
  <dc:description/>
  <cp:lastModifiedBy>Pham Dinh Gia Dung</cp:lastModifiedBy>
  <cp:revision/>
  <dcterms:created xsi:type="dcterms:W3CDTF">2015-06-05T18:17:20Z</dcterms:created>
  <dcterms:modified xsi:type="dcterms:W3CDTF">2026-04-03T05:56:46Z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0x010100F585D91E62A9BA4396E6F91F8A00DBAF</vt:lpwstr>
  </property>
  <property fmtid="{D5CDD505-2E9C-101B-9397-08002B2CF9AE}" pid="3" name="MediaServiceImageTags">
    <vt:lpwstr/>
  </property>
</Properties>
</file>